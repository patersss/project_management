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Материалы ВУЗ\магистратура\1й курс\проектный менеджемент\repo\"/>
    </mc:Choice>
  </mc:AlternateContent>
  <xr:revisionPtr revIDLastSave="0" documentId="13_ncr:1_{87B87A2C-BB86-4071-A5A8-CF6032F87D9C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Оценки" sheetId="1" r:id="rId1"/>
    <sheet name="TOPSIS" sheetId="2" r:id="rId2"/>
    <sheet name="МАИ" sheetId="3" r:id="rId3"/>
    <sheet name="Итог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4" i="3" l="1"/>
  <c r="F6" i="2"/>
  <c r="G6" i="2"/>
  <c r="B14" i="2"/>
  <c r="E24" i="2"/>
  <c r="B6" i="3"/>
  <c r="E29" i="3"/>
  <c r="D29" i="3"/>
  <c r="C29" i="3"/>
  <c r="E28" i="3"/>
  <c r="D28" i="3"/>
  <c r="C28" i="3"/>
  <c r="E27" i="3"/>
  <c r="D27" i="3"/>
  <c r="C27" i="3"/>
  <c r="E26" i="3"/>
  <c r="D26" i="3"/>
  <c r="C26" i="3"/>
  <c r="E25" i="3"/>
  <c r="D25" i="3"/>
  <c r="C25" i="3"/>
  <c r="E24" i="3"/>
  <c r="D24" i="3"/>
  <c r="C24" i="3"/>
  <c r="E23" i="3"/>
  <c r="D23" i="3"/>
  <c r="C23" i="3"/>
  <c r="E22" i="3"/>
  <c r="D22" i="3"/>
  <c r="C22" i="3"/>
  <c r="E21" i="3"/>
  <c r="D21" i="3"/>
  <c r="C21" i="3"/>
  <c r="E20" i="3"/>
  <c r="D20" i="3"/>
  <c r="C20" i="3"/>
  <c r="E19" i="3"/>
  <c r="D19" i="3"/>
  <c r="C19" i="3"/>
  <c r="E18" i="3"/>
  <c r="D18" i="3"/>
  <c r="C18" i="3"/>
  <c r="E17" i="3"/>
  <c r="D17" i="3"/>
  <c r="C17" i="3"/>
  <c r="E16" i="3"/>
  <c r="D16" i="3"/>
  <c r="C16" i="3"/>
  <c r="E15" i="3"/>
  <c r="D15" i="3"/>
  <c r="C15" i="3"/>
  <c r="E14" i="3"/>
  <c r="D14" i="3"/>
  <c r="D9" i="3"/>
  <c r="C9" i="3"/>
  <c r="B9" i="3"/>
  <c r="D8" i="3"/>
  <c r="C8" i="3"/>
  <c r="B8" i="3"/>
  <c r="D7" i="3"/>
  <c r="C7" i="3"/>
  <c r="B7" i="3"/>
  <c r="D6" i="3"/>
  <c r="C6" i="3"/>
  <c r="M17" i="2"/>
  <c r="L17" i="2"/>
  <c r="K17" i="2"/>
  <c r="J17" i="2"/>
  <c r="I17" i="2"/>
  <c r="H17" i="2"/>
  <c r="G17" i="2"/>
  <c r="F17" i="2"/>
  <c r="E17" i="2"/>
  <c r="D17" i="2"/>
  <c r="C17" i="2"/>
  <c r="B17" i="2"/>
  <c r="M16" i="2"/>
  <c r="M26" i="2" s="1"/>
  <c r="L16" i="2"/>
  <c r="K16" i="2"/>
  <c r="J16" i="2"/>
  <c r="I16" i="2"/>
  <c r="H16" i="2"/>
  <c r="G16" i="2"/>
  <c r="F16" i="2"/>
  <c r="E16" i="2"/>
  <c r="D16" i="2"/>
  <c r="C16" i="2"/>
  <c r="B16" i="2"/>
  <c r="M15" i="2"/>
  <c r="L15" i="2"/>
  <c r="K15" i="2"/>
  <c r="J15" i="2"/>
  <c r="I15" i="2"/>
  <c r="H15" i="2"/>
  <c r="G15" i="2"/>
  <c r="F15" i="2"/>
  <c r="E15" i="2"/>
  <c r="D15" i="2"/>
  <c r="C15" i="2"/>
  <c r="B15" i="2"/>
  <c r="M14" i="2"/>
  <c r="L14" i="2"/>
  <c r="K14" i="2"/>
  <c r="J14" i="2"/>
  <c r="I14" i="2"/>
  <c r="H14" i="2"/>
  <c r="G14" i="2"/>
  <c r="G24" i="2" s="1"/>
  <c r="F14" i="2"/>
  <c r="E14" i="2"/>
  <c r="D14" i="2"/>
  <c r="C14" i="2"/>
  <c r="D9" i="2"/>
  <c r="F9" i="2" s="1"/>
  <c r="C9" i="2"/>
  <c r="B9" i="2"/>
  <c r="D8" i="2"/>
  <c r="F8" i="2" s="1"/>
  <c r="C8" i="2"/>
  <c r="B8" i="2"/>
  <c r="D7" i="2"/>
  <c r="C7" i="2"/>
  <c r="B7" i="2"/>
  <c r="D6" i="2"/>
  <c r="C6" i="2"/>
  <c r="B6" i="2"/>
  <c r="D26" i="2" l="1"/>
  <c r="B27" i="2"/>
  <c r="D25" i="2"/>
  <c r="C25" i="2"/>
  <c r="B24" i="2"/>
  <c r="B25" i="2"/>
  <c r="B26" i="2"/>
  <c r="C26" i="2"/>
  <c r="D24" i="2"/>
  <c r="C24" i="2"/>
  <c r="D27" i="2"/>
  <c r="C27" i="2"/>
  <c r="E76" i="3"/>
  <c r="K25" i="2"/>
  <c r="L24" i="2"/>
  <c r="L25" i="2"/>
  <c r="M25" i="2"/>
  <c r="K24" i="2"/>
  <c r="C77" i="3"/>
  <c r="C74" i="3"/>
  <c r="C67" i="3"/>
  <c r="E66" i="3"/>
  <c r="H26" i="2"/>
  <c r="J24" i="2"/>
  <c r="H24" i="2"/>
  <c r="H27" i="2"/>
  <c r="D64" i="3"/>
  <c r="J27" i="2"/>
  <c r="C57" i="3"/>
  <c r="D55" i="3"/>
  <c r="F27" i="2"/>
  <c r="G27" i="2"/>
  <c r="F24" i="2"/>
  <c r="F26" i="2"/>
  <c r="E44" i="3"/>
  <c r="C47" i="3"/>
  <c r="C46" i="3"/>
  <c r="E34" i="3"/>
  <c r="C34" i="3"/>
  <c r="I25" i="2"/>
  <c r="I24" i="2"/>
  <c r="I26" i="2"/>
  <c r="E35" i="3"/>
  <c r="E75" i="3"/>
  <c r="B55" i="3"/>
  <c r="D54" i="3"/>
  <c r="D37" i="3"/>
  <c r="D77" i="3"/>
  <c r="C37" i="3"/>
  <c r="E25" i="2"/>
  <c r="M24" i="2"/>
  <c r="E26" i="2"/>
  <c r="I27" i="2"/>
  <c r="H6" i="2"/>
  <c r="L27" i="2"/>
  <c r="C44" i="3"/>
  <c r="C54" i="3"/>
  <c r="C64" i="3"/>
  <c r="E74" i="3"/>
  <c r="D35" i="3"/>
  <c r="G26" i="2"/>
  <c r="K27" i="2"/>
  <c r="M27" i="2"/>
  <c r="D67" i="3"/>
  <c r="E54" i="3"/>
  <c r="E64" i="3"/>
  <c r="J25" i="2"/>
  <c r="B76" i="3"/>
  <c r="E27" i="2"/>
  <c r="D44" i="3"/>
  <c r="E45" i="3"/>
  <c r="C76" i="3"/>
  <c r="I9" i="2"/>
  <c r="M36" i="2" s="1"/>
  <c r="F25" i="2"/>
  <c r="J26" i="2"/>
  <c r="B35" i="3"/>
  <c r="B75" i="3"/>
  <c r="B36" i="3"/>
  <c r="B46" i="3"/>
  <c r="B56" i="3"/>
  <c r="B66" i="3"/>
  <c r="D47" i="3"/>
  <c r="B47" i="3"/>
  <c r="D75" i="3"/>
  <c r="I7" i="2"/>
  <c r="G37" i="2" s="1"/>
  <c r="G25" i="2"/>
  <c r="K26" i="2"/>
  <c r="E55" i="3"/>
  <c r="C36" i="3"/>
  <c r="C56" i="3"/>
  <c r="C66" i="3"/>
  <c r="E65" i="3"/>
  <c r="D65" i="3"/>
  <c r="B65" i="3"/>
  <c r="F7" i="2"/>
  <c r="H25" i="2"/>
  <c r="L26" i="2"/>
  <c r="E36" i="3"/>
  <c r="E46" i="3"/>
  <c r="E56" i="3"/>
  <c r="B37" i="3"/>
  <c r="B57" i="3"/>
  <c r="B67" i="3"/>
  <c r="B77" i="3"/>
  <c r="D34" i="3"/>
  <c r="D57" i="3"/>
  <c r="D74" i="3"/>
  <c r="B45" i="3"/>
  <c r="D45" i="3"/>
  <c r="C78" i="3" l="1"/>
  <c r="D78" i="3"/>
  <c r="E78" i="3"/>
  <c r="D68" i="3"/>
  <c r="E58" i="3"/>
  <c r="E48" i="3"/>
  <c r="E38" i="3"/>
  <c r="F36" i="3"/>
  <c r="D38" i="3"/>
  <c r="M35" i="2"/>
  <c r="G34" i="2"/>
  <c r="M37" i="2"/>
  <c r="G35" i="2"/>
  <c r="H7" i="2"/>
  <c r="F36" i="2" s="1"/>
  <c r="M34" i="2"/>
  <c r="G7" i="2"/>
  <c r="E37" i="2" s="1"/>
  <c r="I8" i="2"/>
  <c r="G36" i="2"/>
  <c r="C38" i="3"/>
  <c r="C36" i="2"/>
  <c r="C37" i="2"/>
  <c r="F34" i="3"/>
  <c r="B78" i="3"/>
  <c r="F75" i="3"/>
  <c r="F77" i="3"/>
  <c r="I6" i="2"/>
  <c r="D36" i="2" s="1"/>
  <c r="B38" i="3"/>
  <c r="F35" i="3"/>
  <c r="C68" i="3"/>
  <c r="F64" i="3"/>
  <c r="D58" i="3"/>
  <c r="D48" i="3"/>
  <c r="C58" i="3"/>
  <c r="F54" i="3"/>
  <c r="E68" i="3"/>
  <c r="F37" i="3"/>
  <c r="C48" i="3"/>
  <c r="F44" i="3"/>
  <c r="H9" i="2"/>
  <c r="L36" i="2" s="1"/>
  <c r="F57" i="3"/>
  <c r="C34" i="2"/>
  <c r="F47" i="3"/>
  <c r="G8" i="2"/>
  <c r="H35" i="2" s="1"/>
  <c r="H8" i="2"/>
  <c r="I37" i="2" s="1"/>
  <c r="F66" i="3"/>
  <c r="F76" i="3"/>
  <c r="B37" i="2"/>
  <c r="F74" i="3"/>
  <c r="F67" i="3"/>
  <c r="F56" i="3"/>
  <c r="C35" i="2"/>
  <c r="G9" i="2"/>
  <c r="K37" i="2" s="1"/>
  <c r="B58" i="3"/>
  <c r="F55" i="3"/>
  <c r="B48" i="3"/>
  <c r="F45" i="3"/>
  <c r="B68" i="3"/>
  <c r="F65" i="3"/>
  <c r="F46" i="3"/>
  <c r="G74" i="3" l="1"/>
  <c r="E87" i="3" s="1"/>
  <c r="G64" i="3"/>
  <c r="D87" i="3" s="1"/>
  <c r="G56" i="3"/>
  <c r="C89" i="3" s="1"/>
  <c r="G47" i="3"/>
  <c r="B90" i="3" s="1"/>
  <c r="G46" i="3"/>
  <c r="B89" i="3" s="1"/>
  <c r="E35" i="2"/>
  <c r="F35" i="2"/>
  <c r="D37" i="2"/>
  <c r="K36" i="2"/>
  <c r="F34" i="2"/>
  <c r="F37" i="2"/>
  <c r="I34" i="2"/>
  <c r="G35" i="3"/>
  <c r="C39" i="3" s="1"/>
  <c r="J34" i="2"/>
  <c r="J37" i="2"/>
  <c r="E36" i="2"/>
  <c r="J36" i="2"/>
  <c r="E34" i="2"/>
  <c r="D35" i="2"/>
  <c r="J35" i="2"/>
  <c r="L35" i="2"/>
  <c r="L34" i="2"/>
  <c r="G45" i="3"/>
  <c r="G67" i="3"/>
  <c r="G57" i="3"/>
  <c r="G75" i="3"/>
  <c r="G76" i="3"/>
  <c r="G66" i="3"/>
  <c r="G37" i="3"/>
  <c r="K34" i="2"/>
  <c r="K35" i="2"/>
  <c r="G44" i="3"/>
  <c r="D34" i="2"/>
  <c r="G54" i="3"/>
  <c r="I35" i="2"/>
  <c r="B35" i="2"/>
  <c r="B36" i="2"/>
  <c r="G65" i="3"/>
  <c r="G77" i="3"/>
  <c r="G55" i="3"/>
  <c r="G34" i="3"/>
  <c r="B34" i="2"/>
  <c r="H37" i="2"/>
  <c r="H34" i="2"/>
  <c r="H36" i="2"/>
  <c r="G36" i="3"/>
  <c r="I36" i="2"/>
  <c r="L37" i="2"/>
  <c r="B79" i="3" l="1"/>
  <c r="B69" i="3"/>
  <c r="D59" i="3"/>
  <c r="E49" i="3"/>
  <c r="D49" i="3"/>
  <c r="C47" i="2"/>
  <c r="C86" i="3"/>
  <c r="B87" i="3"/>
  <c r="B49" i="3"/>
  <c r="C87" i="3"/>
  <c r="B59" i="3"/>
  <c r="C49" i="3"/>
  <c r="B88" i="3"/>
  <c r="E90" i="3"/>
  <c r="E79" i="3"/>
  <c r="C90" i="3"/>
  <c r="E59" i="3"/>
  <c r="D90" i="3"/>
  <c r="E69" i="3"/>
  <c r="C59" i="3"/>
  <c r="C88" i="3"/>
  <c r="E86" i="3"/>
  <c r="E39" i="3"/>
  <c r="E89" i="3"/>
  <c r="D79" i="3"/>
  <c r="D86" i="3"/>
  <c r="D39" i="3"/>
  <c r="C69" i="3"/>
  <c r="D88" i="3"/>
  <c r="C44" i="2"/>
  <c r="B44" i="2"/>
  <c r="B39" i="3"/>
  <c r="B86" i="3"/>
  <c r="D89" i="3"/>
  <c r="D69" i="3"/>
  <c r="C46" i="2"/>
  <c r="B46" i="2"/>
  <c r="B45" i="2"/>
  <c r="C45" i="2"/>
  <c r="E88" i="3"/>
  <c r="C79" i="3"/>
  <c r="B47" i="2"/>
  <c r="B70" i="3" l="1"/>
  <c r="D70" i="3" s="1"/>
  <c r="F70" i="3" s="1"/>
  <c r="G70" i="3" s="1"/>
  <c r="D47" i="2"/>
  <c r="C7" i="4" s="1"/>
  <c r="F89" i="3"/>
  <c r="E6" i="4" s="1"/>
  <c r="D45" i="2"/>
  <c r="C5" i="4" s="1"/>
  <c r="B40" i="3"/>
  <c r="D40" i="3" s="1"/>
  <c r="F40" i="3" s="1"/>
  <c r="G40" i="3" s="1"/>
  <c r="F90" i="3"/>
  <c r="E7" i="4" s="1"/>
  <c r="F88" i="3"/>
  <c r="D46" i="2"/>
  <c r="B60" i="3"/>
  <c r="D60" i="3" s="1"/>
  <c r="F60" i="3" s="1"/>
  <c r="G60" i="3" s="1"/>
  <c r="D44" i="2"/>
  <c r="B50" i="3"/>
  <c r="D50" i="3" s="1"/>
  <c r="F50" i="3" s="1"/>
  <c r="G50" i="3" s="1"/>
  <c r="B80" i="3"/>
  <c r="D80" i="3" s="1"/>
  <c r="F80" i="3" s="1"/>
  <c r="G80" i="3" s="1"/>
  <c r="F87" i="3"/>
  <c r="E47" i="2" l="1"/>
  <c r="D7" i="4" s="1"/>
  <c r="G89" i="3"/>
  <c r="F6" i="4" s="1"/>
  <c r="E45" i="2"/>
  <c r="D5" i="4" s="1"/>
  <c r="G90" i="3"/>
  <c r="F7" i="4" s="1"/>
  <c r="G87" i="3"/>
  <c r="F4" i="4" s="1"/>
  <c r="E4" i="4"/>
  <c r="E5" i="4"/>
  <c r="G88" i="3"/>
  <c r="F5" i="4" s="1"/>
  <c r="C6" i="4"/>
  <c r="E46" i="2"/>
  <c r="D6" i="4" s="1"/>
  <c r="E44" i="2"/>
  <c r="D4" i="4" s="1"/>
  <c r="C4" i="4"/>
  <c r="C9" i="4" l="1"/>
  <c r="C10" i="4"/>
</calcChain>
</file>

<file path=xl/sharedStrings.xml><?xml version="1.0" encoding="utf-8"?>
<sst xmlns="http://schemas.openxmlformats.org/spreadsheetml/2006/main" count="338" uniqueCount="78">
  <si>
    <t>Фаза 1. Исходные экспертные оценки</t>
  </si>
  <si>
    <t>Синим — редактируемые ячейки. Все расчёты на остальных листах пересчитываются автоматически.</t>
  </si>
  <si>
    <t>Код</t>
  </si>
  <si>
    <t>Критерий</t>
  </si>
  <si>
    <t>Тип</t>
  </si>
  <si>
    <t>Челяпин Л.</t>
  </si>
  <si>
    <t>Засыпко Д.</t>
  </si>
  <si>
    <t>Сопельняк А.</t>
  </si>
  <si>
    <t>п</t>
  </si>
  <si>
    <t>о</t>
  </si>
  <si>
    <t>опт</t>
  </si>
  <si>
    <t>C1</t>
  </si>
  <si>
    <t>C2</t>
  </si>
  <si>
    <t>Острота решаемой проблемы для пользователя</t>
  </si>
  <si>
    <t>выгодный</t>
  </si>
  <si>
    <t>C3</t>
  </si>
  <si>
    <t>Потенциал монетизации</t>
  </si>
  <si>
    <t>C4</t>
  </si>
  <si>
    <t>Простота декомпозиции на Use Cases</t>
  </si>
  <si>
    <t>2. Альтернативы</t>
  </si>
  <si>
    <t>Концепция</t>
  </si>
  <si>
    <t>A1</t>
  </si>
  <si>
    <t>Общие подписки и бытовые расходы соседей по квартире</t>
  </si>
  <si>
    <t>A2</t>
  </si>
  <si>
    <t>Трекер поломок и ремонтов вещей («паспорт вещи»)</t>
  </si>
  <si>
    <t>A3</t>
  </si>
  <si>
    <t>FocusFlow — планировщик задач по правилам тайм-менеджмента</t>
  </si>
  <si>
    <t>A4</t>
  </si>
  <si>
    <t>Система контроля версий для текстовых документов</t>
  </si>
  <si>
    <t>3. Оценки альтернатив по критериям, шкала 1…9</t>
  </si>
  <si>
    <t>Альтернатива</t>
  </si>
  <si>
    <t>Нечёткий коллективный TOPSIS</t>
  </si>
  <si>
    <t>Агрегация мнений: l = min, m = среднее, u = max. FPIS = (1;1;1), FNIS = (0;0;0), вершинное расстояние.</t>
  </si>
  <si>
    <t>1. Агрегированные и нормированные веса критериев</t>
  </si>
  <si>
    <t>l</t>
  </si>
  <si>
    <t>m</t>
  </si>
  <si>
    <t>u</t>
  </si>
  <si>
    <t>Множитель k</t>
  </si>
  <si>
    <t>u·k</t>
  </si>
  <si>
    <t>w (l)</t>
  </si>
  <si>
    <t>w (m)</t>
  </si>
  <si>
    <t>w (u)</t>
  </si>
  <si>
    <t>2. Агрегированная нечёткая матрица решений</t>
  </si>
  <si>
    <t>Альт.</t>
  </si>
  <si>
    <t>3. Нормализованная нечёткая матрица</t>
  </si>
  <si>
    <t>4. Взвешенная нормализованная матрица</t>
  </si>
  <si>
    <t>5. Расстояния до идеальных решений и коэффициент близости</t>
  </si>
  <si>
    <t>d+ (до FPIS)</t>
  </si>
  <si>
    <t>d− (до FNIS)</t>
  </si>
  <si>
    <t>CC = d− / (d+ + d−)</t>
  </si>
  <si>
    <t>Ранг</t>
  </si>
  <si>
    <t>Чёткий коллективный МАИ (метод анализа иерархий)</t>
  </si>
  <si>
    <t>Дефаззификация PERT c=(l+4m+u)/6 → матрицы парных сравнений по шкале Саати → агрегация AIJ (среднее геометрическое) → приоритеты.</t>
  </si>
  <si>
    <t>1. Чёткие оценки после дефаззификации. Важность критериев</t>
  </si>
  <si>
    <t>Оценки альтернатив (для затратных критериев шкала инвертируется: 10 − c)</t>
  </si>
  <si>
    <t>2. Матрица парных сравнений критериев (групповая, AIJ)</t>
  </si>
  <si>
    <t>GEOMEAN</t>
  </si>
  <si>
    <t>Приоритет</t>
  </si>
  <si>
    <t>Σ столбца</t>
  </si>
  <si>
    <t>w (гориз.)</t>
  </si>
  <si>
    <t>λmax</t>
  </si>
  <si>
    <t>CI</t>
  </si>
  <si>
    <t>CR</t>
  </si>
  <si>
    <t>Матрица парных сравнений альтернатив по критерию C1 — Зависимость от внешних источников данных и интеграций</t>
  </si>
  <si>
    <t>Матрица парных сравнений альтернатив по критерию C2 — Острота решаемой проблемы для пользователя</t>
  </si>
  <si>
    <t>Матрица парных сравнений альтернатив по критерию C3 — Потенциал монетизации</t>
  </si>
  <si>
    <t>Матрица парных сравнений альтернатив по критерию C4 — Простота декомпозиции на Use Cases</t>
  </si>
  <si>
    <t>3. Глобальные приоритеты альтернатив</t>
  </si>
  <si>
    <t>Глобальный приоритет</t>
  </si>
  <si>
    <t>Вес критерия</t>
  </si>
  <si>
    <t>Сводное сравнение методов</t>
  </si>
  <si>
    <t>CC (TOPSIS)</t>
  </si>
  <si>
    <t>Ранг TOPSIS</t>
  </si>
  <si>
    <t>Приоритет (МАИ)</t>
  </si>
  <si>
    <t>Ранг МАИ</t>
  </si>
  <si>
    <t>Победитель по TOPSIS:</t>
  </si>
  <si>
    <t>Победитель по МАИ:</t>
  </si>
  <si>
    <t>Насколько легко обойтись без интеграций и внешних данных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</si>
</sst>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8" x14ac:knownFonts="1">
    <font>
      <sz val="11"/>
      <color theme="1"/>
      <name val="Calibri"/>
      <family val="2"/>
      <charset val="1"/>
    </font>
    <font>
      <b/>
      <sz val="12"/>
      <name val="Arial"/>
      <charset val="1"/>
    </font>
    <font>
      <i/>
      <sz val="9"/>
      <color rgb="FF0000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i/>
      <sz val="9"/>
      <name val="Arial"/>
      <charset val="1"/>
    </font>
    <font>
      <i/>
      <sz val="1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DDE5F0"/>
        <bgColor rgb="FFF2F2F2"/>
      </patternFill>
    </fill>
    <fill>
      <patternFill patternType="solid">
        <fgColor rgb="FFF2F2F2"/>
        <bgColor rgb="FFDDE5F0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0" borderId="0" xfId="0" applyFont="1"/>
    <xf numFmtId="164" fontId="4" fillId="0" borderId="1" xfId="0" applyNumberFormat="1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6" fontId="3" fillId="0" borderId="1" xfId="0" applyNumberFormat="1" applyFont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6" fontId="4" fillId="0" borderId="1" xfId="0" applyNumberFormat="1" applyFont="1" applyBorder="1" applyAlignment="1">
      <alignment horizontal="center" vertical="center"/>
    </xf>
    <xf numFmtId="0" fontId="7" fillId="0" borderId="0" xfId="0" applyFont="1"/>
    <xf numFmtId="0" fontId="3" fillId="0" borderId="0" xfId="0" applyFont="1"/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E5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"/>
  <sheetViews>
    <sheetView showGridLines="0" tabSelected="1" zoomScaleNormal="100" workbookViewId="0">
      <selection activeCell="F24" sqref="F24"/>
    </sheetView>
  </sheetViews>
  <sheetFormatPr defaultColWidth="8.6640625" defaultRowHeight="14.4" x14ac:dyDescent="0.3"/>
  <cols>
    <col min="1" max="1" width="12" customWidth="1"/>
    <col min="2" max="2" width="58.44140625" customWidth="1"/>
    <col min="3" max="3" width="12" customWidth="1"/>
    <col min="4" max="12" width="6" customWidth="1"/>
  </cols>
  <sheetData>
    <row r="1" spans="1:12" ht="15.6" x14ac:dyDescent="0.3">
      <c r="A1" s="1" t="s">
        <v>0</v>
      </c>
    </row>
    <row r="2" spans="1:12" x14ac:dyDescent="0.3">
      <c r="A2" s="2" t="s">
        <v>1</v>
      </c>
    </row>
    <row r="4" spans="1:12" ht="14.25" customHeight="1" x14ac:dyDescent="0.3">
      <c r="A4" s="21" t="s">
        <v>2</v>
      </c>
      <c r="B4" s="21" t="s">
        <v>3</v>
      </c>
      <c r="C4" s="21" t="s">
        <v>4</v>
      </c>
      <c r="D4" s="21" t="s">
        <v>5</v>
      </c>
      <c r="E4" s="21"/>
      <c r="F4" s="21"/>
      <c r="G4" s="21" t="s">
        <v>6</v>
      </c>
      <c r="H4" s="21"/>
      <c r="I4" s="21"/>
      <c r="J4" s="21" t="s">
        <v>7</v>
      </c>
      <c r="K4" s="21"/>
      <c r="L4" s="21"/>
    </row>
    <row r="5" spans="1:12" x14ac:dyDescent="0.3">
      <c r="A5" s="21"/>
      <c r="B5" s="21"/>
      <c r="C5" s="21"/>
      <c r="D5" s="3" t="s">
        <v>8</v>
      </c>
      <c r="E5" s="3" t="s">
        <v>9</v>
      </c>
      <c r="F5" s="3" t="s">
        <v>10</v>
      </c>
      <c r="G5" s="3" t="s">
        <v>8</v>
      </c>
      <c r="H5" s="3" t="s">
        <v>9</v>
      </c>
      <c r="I5" s="3" t="s">
        <v>10</v>
      </c>
      <c r="J5" s="3" t="s">
        <v>8</v>
      </c>
      <c r="K5" s="3" t="s">
        <v>9</v>
      </c>
      <c r="L5" s="3" t="s">
        <v>10</v>
      </c>
    </row>
    <row r="6" spans="1:12" x14ac:dyDescent="0.3">
      <c r="A6" s="4" t="s">
        <v>11</v>
      </c>
      <c r="B6" s="5" t="s">
        <v>77</v>
      </c>
      <c r="C6" s="6" t="s">
        <v>14</v>
      </c>
      <c r="D6" s="6">
        <v>6</v>
      </c>
      <c r="E6" s="6">
        <v>8</v>
      </c>
      <c r="F6" s="6">
        <v>9</v>
      </c>
      <c r="G6" s="6">
        <v>5</v>
      </c>
      <c r="H6" s="6">
        <v>6</v>
      </c>
      <c r="I6" s="6">
        <v>7</v>
      </c>
      <c r="J6" s="6">
        <v>7</v>
      </c>
      <c r="K6" s="6">
        <v>7</v>
      </c>
      <c r="L6" s="6">
        <v>9</v>
      </c>
    </row>
    <row r="7" spans="1:12" x14ac:dyDescent="0.3">
      <c r="A7" s="4" t="s">
        <v>12</v>
      </c>
      <c r="B7" s="5" t="s">
        <v>13</v>
      </c>
      <c r="C7" s="6" t="s">
        <v>14</v>
      </c>
      <c r="D7" s="6">
        <v>7</v>
      </c>
      <c r="E7" s="6">
        <v>9</v>
      </c>
      <c r="F7" s="6">
        <v>9</v>
      </c>
      <c r="G7" s="6">
        <v>8</v>
      </c>
      <c r="H7" s="6">
        <v>9</v>
      </c>
      <c r="I7" s="6">
        <v>9</v>
      </c>
      <c r="J7" s="6">
        <v>5</v>
      </c>
      <c r="K7" s="6">
        <v>7</v>
      </c>
      <c r="L7" s="6">
        <v>8</v>
      </c>
    </row>
    <row r="8" spans="1:12" x14ac:dyDescent="0.3">
      <c r="A8" s="4" t="s">
        <v>15</v>
      </c>
      <c r="B8" s="5" t="s">
        <v>16</v>
      </c>
      <c r="C8" s="6" t="s">
        <v>14</v>
      </c>
      <c r="D8" s="6">
        <v>6</v>
      </c>
      <c r="E8" s="6">
        <v>9</v>
      </c>
      <c r="F8" s="6">
        <v>9</v>
      </c>
      <c r="G8" s="6">
        <v>5</v>
      </c>
      <c r="H8" s="6">
        <v>6</v>
      </c>
      <c r="I8" s="6">
        <v>7</v>
      </c>
      <c r="J8" s="6">
        <v>7</v>
      </c>
      <c r="K8" s="6">
        <v>6</v>
      </c>
      <c r="L8" s="6">
        <v>8</v>
      </c>
    </row>
    <row r="9" spans="1:12" x14ac:dyDescent="0.3">
      <c r="A9" s="4" t="s">
        <v>17</v>
      </c>
      <c r="B9" s="5" t="s">
        <v>18</v>
      </c>
      <c r="C9" s="6" t="s">
        <v>14</v>
      </c>
      <c r="D9" s="6">
        <v>3</v>
      </c>
      <c r="E9" s="6">
        <v>5</v>
      </c>
      <c r="F9" s="6">
        <v>6</v>
      </c>
      <c r="G9" s="6">
        <v>6</v>
      </c>
      <c r="H9" s="6">
        <v>7</v>
      </c>
      <c r="I9" s="6">
        <v>8</v>
      </c>
      <c r="J9" s="6">
        <v>7</v>
      </c>
      <c r="K9" s="6">
        <v>8</v>
      </c>
      <c r="L9" s="6">
        <v>9</v>
      </c>
    </row>
    <row r="11" spans="1:12" ht="15.6" x14ac:dyDescent="0.3">
      <c r="A11" s="1" t="s">
        <v>19</v>
      </c>
    </row>
    <row r="12" spans="1:12" x14ac:dyDescent="0.3">
      <c r="A12" s="3" t="s">
        <v>2</v>
      </c>
      <c r="B12" s="3" t="s">
        <v>20</v>
      </c>
    </row>
    <row r="13" spans="1:12" x14ac:dyDescent="0.3">
      <c r="A13" s="4" t="s">
        <v>21</v>
      </c>
      <c r="B13" s="7" t="s">
        <v>22</v>
      </c>
    </row>
    <row r="14" spans="1:12" x14ac:dyDescent="0.3">
      <c r="A14" s="4" t="s">
        <v>23</v>
      </c>
      <c r="B14" s="7" t="s">
        <v>24</v>
      </c>
    </row>
    <row r="15" spans="1:12" x14ac:dyDescent="0.3">
      <c r="A15" s="4" t="s">
        <v>25</v>
      </c>
      <c r="B15" s="7" t="s">
        <v>26</v>
      </c>
    </row>
    <row r="16" spans="1:12" x14ac:dyDescent="0.3">
      <c r="A16" s="4" t="s">
        <v>27</v>
      </c>
      <c r="B16" s="7" t="s">
        <v>28</v>
      </c>
    </row>
    <row r="18" spans="1:12" ht="15.6" x14ac:dyDescent="0.3">
      <c r="A18" s="1" t="s">
        <v>29</v>
      </c>
    </row>
    <row r="19" spans="1:12" ht="14.25" customHeight="1" x14ac:dyDescent="0.3">
      <c r="A19" s="21" t="s">
        <v>3</v>
      </c>
      <c r="B19" s="21" t="s">
        <v>30</v>
      </c>
      <c r="C19" s="21"/>
      <c r="D19" s="21" t="s">
        <v>5</v>
      </c>
      <c r="E19" s="21"/>
      <c r="F19" s="21"/>
      <c r="G19" s="21" t="s">
        <v>6</v>
      </c>
      <c r="H19" s="21"/>
      <c r="I19" s="21"/>
      <c r="J19" s="21" t="s">
        <v>7</v>
      </c>
      <c r="K19" s="21"/>
      <c r="L19" s="21"/>
    </row>
    <row r="20" spans="1:12" x14ac:dyDescent="0.3">
      <c r="A20" s="21"/>
      <c r="B20" s="21"/>
      <c r="C20" s="21"/>
      <c r="D20" s="3" t="s">
        <v>8</v>
      </c>
      <c r="E20" s="3" t="s">
        <v>9</v>
      </c>
      <c r="F20" s="3" t="s">
        <v>10</v>
      </c>
      <c r="G20" s="3" t="s">
        <v>8</v>
      </c>
      <c r="H20" s="3" t="s">
        <v>9</v>
      </c>
      <c r="I20" s="3" t="s">
        <v>10</v>
      </c>
      <c r="J20" s="3" t="s">
        <v>8</v>
      </c>
      <c r="K20" s="3" t="s">
        <v>9</v>
      </c>
      <c r="L20" s="3" t="s">
        <v>10</v>
      </c>
    </row>
    <row r="21" spans="1:12" x14ac:dyDescent="0.3">
      <c r="A21" s="4" t="s">
        <v>11</v>
      </c>
      <c r="B21" s="8" t="s">
        <v>21</v>
      </c>
      <c r="C21" s="8"/>
      <c r="D21" s="6">
        <v>5</v>
      </c>
      <c r="E21" s="6">
        <v>7</v>
      </c>
      <c r="F21" s="6">
        <v>9</v>
      </c>
      <c r="G21" s="6">
        <v>5</v>
      </c>
      <c r="H21" s="6">
        <v>6</v>
      </c>
      <c r="I21" s="6">
        <v>8</v>
      </c>
      <c r="J21" s="6">
        <v>4</v>
      </c>
      <c r="K21" s="6">
        <v>6</v>
      </c>
      <c r="L21" s="6">
        <v>7</v>
      </c>
    </row>
    <row r="22" spans="1:12" x14ac:dyDescent="0.3">
      <c r="A22" s="4" t="s">
        <v>11</v>
      </c>
      <c r="B22" s="8" t="s">
        <v>23</v>
      </c>
      <c r="C22" s="8"/>
      <c r="D22" s="6">
        <v>7</v>
      </c>
      <c r="E22" s="6">
        <v>9</v>
      </c>
      <c r="F22" s="6">
        <v>9</v>
      </c>
      <c r="G22" s="6">
        <v>3</v>
      </c>
      <c r="H22" s="6">
        <v>5</v>
      </c>
      <c r="I22" s="6">
        <v>6</v>
      </c>
      <c r="J22" s="6">
        <v>4</v>
      </c>
      <c r="K22" s="6">
        <v>6</v>
      </c>
      <c r="L22" s="6">
        <v>7</v>
      </c>
    </row>
    <row r="23" spans="1:12" x14ac:dyDescent="0.3">
      <c r="A23" s="4" t="s">
        <v>11</v>
      </c>
      <c r="B23" s="8" t="s">
        <v>25</v>
      </c>
      <c r="C23" s="8"/>
      <c r="D23" s="6">
        <v>6</v>
      </c>
      <c r="E23" s="6">
        <v>8</v>
      </c>
      <c r="F23" s="6">
        <v>9</v>
      </c>
      <c r="G23" s="6">
        <v>2</v>
      </c>
      <c r="H23" s="6">
        <v>3</v>
      </c>
      <c r="I23" s="6">
        <v>5</v>
      </c>
      <c r="J23" s="6">
        <v>1</v>
      </c>
      <c r="K23" s="6">
        <v>2</v>
      </c>
      <c r="L23" s="6">
        <v>4</v>
      </c>
    </row>
    <row r="24" spans="1:12" x14ac:dyDescent="0.3">
      <c r="A24" s="4" t="s">
        <v>11</v>
      </c>
      <c r="B24" s="8" t="s">
        <v>27</v>
      </c>
      <c r="C24" s="8"/>
      <c r="D24" s="6">
        <v>3</v>
      </c>
      <c r="E24" s="6">
        <v>5</v>
      </c>
      <c r="F24" s="6">
        <v>7</v>
      </c>
      <c r="G24" s="6">
        <v>1</v>
      </c>
      <c r="H24" s="6">
        <v>2</v>
      </c>
      <c r="I24" s="6">
        <v>3</v>
      </c>
      <c r="J24" s="6">
        <v>3</v>
      </c>
      <c r="K24" s="6">
        <v>3</v>
      </c>
      <c r="L24" s="6">
        <v>4</v>
      </c>
    </row>
    <row r="25" spans="1:12" x14ac:dyDescent="0.3">
      <c r="A25" s="9" t="s">
        <v>12</v>
      </c>
      <c r="B25" s="10" t="s">
        <v>21</v>
      </c>
      <c r="C25" s="10"/>
      <c r="D25" s="11">
        <v>3</v>
      </c>
      <c r="E25" s="11">
        <v>6</v>
      </c>
      <c r="F25" s="11">
        <v>7</v>
      </c>
      <c r="G25" s="11">
        <v>8</v>
      </c>
      <c r="H25" s="11">
        <v>9</v>
      </c>
      <c r="I25" s="11">
        <v>9</v>
      </c>
      <c r="J25" s="11">
        <v>7</v>
      </c>
      <c r="K25" s="11">
        <v>9</v>
      </c>
      <c r="L25" s="11">
        <v>9</v>
      </c>
    </row>
    <row r="26" spans="1:12" x14ac:dyDescent="0.3">
      <c r="A26" s="9" t="s">
        <v>12</v>
      </c>
      <c r="B26" s="10" t="s">
        <v>23</v>
      </c>
      <c r="C26" s="10"/>
      <c r="D26" s="11">
        <v>1</v>
      </c>
      <c r="E26" s="11">
        <v>3</v>
      </c>
      <c r="F26" s="11">
        <v>4</v>
      </c>
      <c r="G26" s="11">
        <v>4</v>
      </c>
      <c r="H26" s="11">
        <v>5</v>
      </c>
      <c r="I26" s="11">
        <v>6</v>
      </c>
      <c r="J26" s="11">
        <v>4</v>
      </c>
      <c r="K26" s="11">
        <v>6</v>
      </c>
      <c r="L26" s="11">
        <v>7</v>
      </c>
    </row>
    <row r="27" spans="1:12" x14ac:dyDescent="0.3">
      <c r="A27" s="9" t="s">
        <v>12</v>
      </c>
      <c r="B27" s="10" t="s">
        <v>25</v>
      </c>
      <c r="C27" s="10"/>
      <c r="D27" s="11">
        <v>4</v>
      </c>
      <c r="E27" s="11">
        <v>6</v>
      </c>
      <c r="F27" s="11">
        <v>8</v>
      </c>
      <c r="G27" s="11">
        <v>4</v>
      </c>
      <c r="H27" s="11">
        <v>5</v>
      </c>
      <c r="I27" s="11">
        <v>7</v>
      </c>
      <c r="J27" s="11">
        <v>5</v>
      </c>
      <c r="K27" s="11">
        <v>6</v>
      </c>
      <c r="L27" s="11">
        <v>8</v>
      </c>
    </row>
    <row r="28" spans="1:12" x14ac:dyDescent="0.3">
      <c r="A28" s="9" t="s">
        <v>12</v>
      </c>
      <c r="B28" s="10" t="s">
        <v>27</v>
      </c>
      <c r="C28" s="10"/>
      <c r="D28" s="11">
        <v>5</v>
      </c>
      <c r="E28" s="11">
        <v>7</v>
      </c>
      <c r="F28" s="11">
        <v>8</v>
      </c>
      <c r="G28" s="11">
        <v>3</v>
      </c>
      <c r="H28" s="11">
        <v>4</v>
      </c>
      <c r="I28" s="11">
        <v>6</v>
      </c>
      <c r="J28" s="11">
        <v>4</v>
      </c>
      <c r="K28" s="11">
        <v>5</v>
      </c>
      <c r="L28" s="11">
        <v>6</v>
      </c>
    </row>
    <row r="29" spans="1:12" x14ac:dyDescent="0.3">
      <c r="A29" s="4" t="s">
        <v>15</v>
      </c>
      <c r="B29" s="8" t="s">
        <v>21</v>
      </c>
      <c r="C29" s="8"/>
      <c r="D29" s="6">
        <v>3</v>
      </c>
      <c r="E29" s="6">
        <v>5</v>
      </c>
      <c r="F29" s="6">
        <v>5</v>
      </c>
      <c r="G29" s="6">
        <v>6</v>
      </c>
      <c r="H29" s="6">
        <v>7</v>
      </c>
      <c r="I29" s="6">
        <v>8</v>
      </c>
      <c r="J29" s="6">
        <v>6</v>
      </c>
      <c r="K29" s="6">
        <v>7</v>
      </c>
      <c r="L29" s="6">
        <v>8</v>
      </c>
    </row>
    <row r="30" spans="1:12" x14ac:dyDescent="0.3">
      <c r="A30" s="4" t="s">
        <v>15</v>
      </c>
      <c r="B30" s="8" t="s">
        <v>23</v>
      </c>
      <c r="C30" s="8"/>
      <c r="D30" s="6">
        <v>2</v>
      </c>
      <c r="E30" s="6">
        <v>4</v>
      </c>
      <c r="F30" s="6">
        <v>5</v>
      </c>
      <c r="G30" s="6">
        <v>4</v>
      </c>
      <c r="H30" s="6">
        <v>5</v>
      </c>
      <c r="I30" s="6">
        <v>6</v>
      </c>
      <c r="J30" s="6">
        <v>3</v>
      </c>
      <c r="K30" s="6">
        <v>4</v>
      </c>
      <c r="L30" s="6">
        <v>7</v>
      </c>
    </row>
    <row r="31" spans="1:12" x14ac:dyDescent="0.3">
      <c r="A31" s="4" t="s">
        <v>15</v>
      </c>
      <c r="B31" s="8" t="s">
        <v>25</v>
      </c>
      <c r="C31" s="8"/>
      <c r="D31" s="6">
        <v>5</v>
      </c>
      <c r="E31" s="6">
        <v>7</v>
      </c>
      <c r="F31" s="6">
        <v>7</v>
      </c>
      <c r="G31" s="6">
        <v>4</v>
      </c>
      <c r="H31" s="6">
        <v>5</v>
      </c>
      <c r="I31" s="6">
        <v>6</v>
      </c>
      <c r="J31" s="6">
        <v>4</v>
      </c>
      <c r="K31" s="6">
        <v>5</v>
      </c>
      <c r="L31" s="6">
        <v>6</v>
      </c>
    </row>
    <row r="32" spans="1:12" x14ac:dyDescent="0.3">
      <c r="A32" s="4" t="s">
        <v>15</v>
      </c>
      <c r="B32" s="8" t="s">
        <v>27</v>
      </c>
      <c r="C32" s="8"/>
      <c r="D32" s="6">
        <v>5</v>
      </c>
      <c r="E32" s="6">
        <v>7</v>
      </c>
      <c r="F32" s="6">
        <v>9</v>
      </c>
      <c r="G32" s="6">
        <v>5</v>
      </c>
      <c r="H32" s="6">
        <v>6</v>
      </c>
      <c r="I32" s="6">
        <v>7</v>
      </c>
      <c r="J32" s="6">
        <v>4</v>
      </c>
      <c r="K32" s="6">
        <v>6</v>
      </c>
      <c r="L32" s="6">
        <v>7</v>
      </c>
    </row>
    <row r="33" spans="1:12" x14ac:dyDescent="0.3">
      <c r="A33" s="9" t="s">
        <v>17</v>
      </c>
      <c r="B33" s="10" t="s">
        <v>21</v>
      </c>
      <c r="C33" s="10"/>
      <c r="D33" s="11">
        <v>5</v>
      </c>
      <c r="E33" s="11">
        <v>7</v>
      </c>
      <c r="F33" s="11">
        <v>7</v>
      </c>
      <c r="G33" s="11">
        <v>7</v>
      </c>
      <c r="H33" s="11">
        <v>8</v>
      </c>
      <c r="I33" s="11">
        <v>9</v>
      </c>
      <c r="J33" s="11">
        <v>8</v>
      </c>
      <c r="K33" s="11">
        <v>9</v>
      </c>
      <c r="L33" s="11">
        <v>9</v>
      </c>
    </row>
    <row r="34" spans="1:12" x14ac:dyDescent="0.3">
      <c r="A34" s="9" t="s">
        <v>17</v>
      </c>
      <c r="B34" s="10" t="s">
        <v>23</v>
      </c>
      <c r="C34" s="10"/>
      <c r="D34" s="11">
        <v>3</v>
      </c>
      <c r="E34" s="11">
        <v>5</v>
      </c>
      <c r="F34" s="11">
        <v>6</v>
      </c>
      <c r="G34" s="11">
        <v>7</v>
      </c>
      <c r="H34" s="11">
        <v>8</v>
      </c>
      <c r="I34" s="11">
        <v>9</v>
      </c>
      <c r="J34" s="11">
        <v>6</v>
      </c>
      <c r="K34" s="11">
        <v>7</v>
      </c>
      <c r="L34" s="11">
        <v>8</v>
      </c>
    </row>
    <row r="35" spans="1:12" x14ac:dyDescent="0.3">
      <c r="A35" s="9" t="s">
        <v>17</v>
      </c>
      <c r="B35" s="10" t="s">
        <v>25</v>
      </c>
      <c r="C35" s="10"/>
      <c r="D35" s="11">
        <v>4</v>
      </c>
      <c r="E35" s="11">
        <v>8</v>
      </c>
      <c r="F35" s="11">
        <v>9</v>
      </c>
      <c r="G35" s="11">
        <v>5</v>
      </c>
      <c r="H35" s="11">
        <v>6</v>
      </c>
      <c r="I35" s="11">
        <v>8</v>
      </c>
      <c r="J35" s="11">
        <v>5</v>
      </c>
      <c r="K35" s="11">
        <v>6</v>
      </c>
      <c r="L35" s="11">
        <v>7</v>
      </c>
    </row>
    <row r="36" spans="1:12" x14ac:dyDescent="0.3">
      <c r="A36" s="9" t="s">
        <v>17</v>
      </c>
      <c r="B36" s="10" t="s">
        <v>27</v>
      </c>
      <c r="C36" s="10"/>
      <c r="D36" s="11">
        <v>6</v>
      </c>
      <c r="E36" s="11">
        <v>8</v>
      </c>
      <c r="F36" s="11">
        <v>9</v>
      </c>
      <c r="G36" s="11">
        <v>6</v>
      </c>
      <c r="H36" s="11">
        <v>7</v>
      </c>
      <c r="I36" s="11">
        <v>8</v>
      </c>
      <c r="J36" s="11">
        <v>6</v>
      </c>
      <c r="K36" s="11">
        <v>7</v>
      </c>
      <c r="L36" s="11">
        <v>8</v>
      </c>
    </row>
  </sheetData>
  <mergeCells count="12">
    <mergeCell ref="J4:L4"/>
    <mergeCell ref="A19:A20"/>
    <mergeCell ref="B19:B20"/>
    <mergeCell ref="C19:C20"/>
    <mergeCell ref="D19:F19"/>
    <mergeCell ref="G19:I19"/>
    <mergeCell ref="J19:L19"/>
    <mergeCell ref="A4:A5"/>
    <mergeCell ref="B4:B5"/>
    <mergeCell ref="C4:C5"/>
    <mergeCell ref="D4:F4"/>
    <mergeCell ref="G4:I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7"/>
  <sheetViews>
    <sheetView showGridLines="0" topLeftCell="A14" zoomScaleNormal="100" workbookViewId="0">
      <selection activeCell="K7" sqref="K7"/>
    </sheetView>
  </sheetViews>
  <sheetFormatPr defaultColWidth="8.6640625" defaultRowHeight="14.4" x14ac:dyDescent="0.3"/>
  <cols>
    <col min="1" max="1" width="10" customWidth="1"/>
    <col min="2" max="3" width="14" customWidth="1"/>
    <col min="4" max="4" width="20" customWidth="1"/>
    <col min="5" max="13" width="9" customWidth="1"/>
  </cols>
  <sheetData>
    <row r="1" spans="1:13" ht="15.6" x14ac:dyDescent="0.3">
      <c r="A1" s="1" t="s">
        <v>31</v>
      </c>
    </row>
    <row r="2" spans="1:13" x14ac:dyDescent="0.3">
      <c r="A2" s="12" t="s">
        <v>32</v>
      </c>
    </row>
    <row r="4" spans="1:13" ht="15.6" x14ac:dyDescent="0.3">
      <c r="A4" s="1" t="s">
        <v>33</v>
      </c>
    </row>
    <row r="5" spans="1:13" ht="26.4" x14ac:dyDescent="0.3">
      <c r="A5" s="3" t="s">
        <v>3</v>
      </c>
      <c r="B5" s="3" t="s">
        <v>34</v>
      </c>
      <c r="C5" s="3" t="s">
        <v>35</v>
      </c>
      <c r="D5" s="3" t="s">
        <v>36</v>
      </c>
      <c r="E5" s="3" t="s">
        <v>37</v>
      </c>
      <c r="F5" s="3" t="s">
        <v>38</v>
      </c>
      <c r="G5" s="3" t="s">
        <v>39</v>
      </c>
      <c r="H5" s="3" t="s">
        <v>40</v>
      </c>
      <c r="I5" s="3" t="s">
        <v>41</v>
      </c>
    </row>
    <row r="6" spans="1:13" x14ac:dyDescent="0.3">
      <c r="A6" s="4" t="s">
        <v>11</v>
      </c>
      <c r="B6" s="13">
        <f>MIN(Оценки!D6,Оценки!G6,Оценки!J6)</f>
        <v>5</v>
      </c>
      <c r="C6" s="13">
        <f>AVERAGE(Оценки!E6,Оценки!H6,Оценки!K6)</f>
        <v>7</v>
      </c>
      <c r="D6" s="13">
        <f>MAX(Оценки!F6,Оценки!I6,Оценки!L6)</f>
        <v>9</v>
      </c>
      <c r="E6" s="14">
        <v>1</v>
      </c>
      <c r="F6" s="13">
        <f>D6*E6</f>
        <v>9</v>
      </c>
      <c r="G6" s="13">
        <f>B6*$E6/MAX($F$6:$F$9)</f>
        <v>0.55555555555555558</v>
      </c>
      <c r="H6" s="13">
        <f t="shared" ref="G6:I9" si="0">C6*$E6/MAX($F$6:$F$9)</f>
        <v>0.77777777777777779</v>
      </c>
      <c r="I6" s="13">
        <f t="shared" si="0"/>
        <v>1</v>
      </c>
    </row>
    <row r="7" spans="1:13" x14ac:dyDescent="0.3">
      <c r="A7" s="4" t="s">
        <v>12</v>
      </c>
      <c r="B7" s="13">
        <f>MIN(Оценки!D7,Оценки!G7,Оценки!J7)</f>
        <v>5</v>
      </c>
      <c r="C7" s="13">
        <f>AVERAGE(Оценки!E7,Оценки!H7,Оценки!K7)</f>
        <v>8.3333333333333339</v>
      </c>
      <c r="D7" s="13">
        <f>MAX(Оценки!F7,Оценки!I7,Оценки!L7)</f>
        <v>9</v>
      </c>
      <c r="E7" s="14">
        <v>1</v>
      </c>
      <c r="F7" s="13">
        <f>D7*E7</f>
        <v>9</v>
      </c>
      <c r="G7" s="13">
        <f t="shared" si="0"/>
        <v>0.55555555555555558</v>
      </c>
      <c r="H7" s="13">
        <f t="shared" si="0"/>
        <v>0.92592592592592604</v>
      </c>
      <c r="I7" s="13">
        <f t="shared" si="0"/>
        <v>1</v>
      </c>
    </row>
    <row r="8" spans="1:13" x14ac:dyDescent="0.3">
      <c r="A8" s="4" t="s">
        <v>15</v>
      </c>
      <c r="B8" s="13">
        <f>MIN(Оценки!D8,Оценки!G8,Оценки!J8)</f>
        <v>5</v>
      </c>
      <c r="C8" s="13">
        <f>AVERAGE(Оценки!E8,Оценки!H8,Оценки!K8)</f>
        <v>7</v>
      </c>
      <c r="D8" s="13">
        <f>MAX(Оценки!F8,Оценки!I8,Оценки!L8)</f>
        <v>9</v>
      </c>
      <c r="E8" s="14">
        <v>1</v>
      </c>
      <c r="F8" s="13">
        <f>D8*E8</f>
        <v>9</v>
      </c>
      <c r="G8" s="13">
        <f t="shared" si="0"/>
        <v>0.55555555555555558</v>
      </c>
      <c r="H8" s="13">
        <f t="shared" si="0"/>
        <v>0.77777777777777779</v>
      </c>
      <c r="I8" s="13">
        <f t="shared" si="0"/>
        <v>1</v>
      </c>
    </row>
    <row r="9" spans="1:13" x14ac:dyDescent="0.3">
      <c r="A9" s="4" t="s">
        <v>17</v>
      </c>
      <c r="B9" s="13">
        <f>MIN(Оценки!D9,Оценки!G9,Оценки!J9)</f>
        <v>3</v>
      </c>
      <c r="C9" s="13">
        <f>AVERAGE(Оценки!E9,Оценки!H9,Оценки!K9)</f>
        <v>6.666666666666667</v>
      </c>
      <c r="D9" s="13">
        <f>MAX(Оценки!F9,Оценки!I9,Оценки!L9)</f>
        <v>9</v>
      </c>
      <c r="E9" s="14">
        <v>1</v>
      </c>
      <c r="F9" s="13">
        <f>D9*E9</f>
        <v>9</v>
      </c>
      <c r="G9" s="13">
        <f t="shared" si="0"/>
        <v>0.33333333333333331</v>
      </c>
      <c r="H9" s="13">
        <f t="shared" si="0"/>
        <v>0.74074074074074081</v>
      </c>
      <c r="I9" s="13">
        <f t="shared" si="0"/>
        <v>1</v>
      </c>
    </row>
    <row r="10" spans="1:13" x14ac:dyDescent="0.3">
      <c r="A10" s="2"/>
    </row>
    <row r="11" spans="1:13" ht="15.6" x14ac:dyDescent="0.3">
      <c r="A11" s="1" t="s">
        <v>42</v>
      </c>
    </row>
    <row r="12" spans="1:13" ht="14.25" customHeight="1" x14ac:dyDescent="0.3">
      <c r="A12" s="21" t="s">
        <v>43</v>
      </c>
      <c r="B12" s="21" t="s">
        <v>11</v>
      </c>
      <c r="C12" s="21"/>
      <c r="D12" s="21"/>
      <c r="E12" s="21" t="s">
        <v>12</v>
      </c>
      <c r="F12" s="21"/>
      <c r="G12" s="21"/>
      <c r="H12" s="21" t="s">
        <v>15</v>
      </c>
      <c r="I12" s="21"/>
      <c r="J12" s="21"/>
      <c r="K12" s="21" t="s">
        <v>17</v>
      </c>
      <c r="L12" s="21"/>
      <c r="M12" s="21"/>
    </row>
    <row r="13" spans="1:13" x14ac:dyDescent="0.3">
      <c r="A13" s="21"/>
      <c r="B13" s="3" t="s">
        <v>34</v>
      </c>
      <c r="C13" s="3" t="s">
        <v>35</v>
      </c>
      <c r="D13" s="3" t="s">
        <v>36</v>
      </c>
      <c r="E13" s="3" t="s">
        <v>34</v>
      </c>
      <c r="F13" s="3" t="s">
        <v>35</v>
      </c>
      <c r="G13" s="3" t="s">
        <v>36</v>
      </c>
      <c r="H13" s="3" t="s">
        <v>34</v>
      </c>
      <c r="I13" s="3" t="s">
        <v>35</v>
      </c>
      <c r="J13" s="3" t="s">
        <v>36</v>
      </c>
      <c r="K13" s="3" t="s">
        <v>34</v>
      </c>
      <c r="L13" s="3" t="s">
        <v>35</v>
      </c>
      <c r="M13" s="3" t="s">
        <v>36</v>
      </c>
    </row>
    <row r="14" spans="1:13" x14ac:dyDescent="0.3">
      <c r="A14" s="4" t="s">
        <v>21</v>
      </c>
      <c r="B14" s="13">
        <f>MIN(Оценки!D21,Оценки!G21,Оценки!J21)</f>
        <v>4</v>
      </c>
      <c r="C14" s="13">
        <f>AVERAGE(Оценки!E21,Оценки!H21,Оценки!K21)</f>
        <v>6.333333333333333</v>
      </c>
      <c r="D14" s="13">
        <f>MAX(Оценки!F21,Оценки!I21,Оценки!L21)</f>
        <v>9</v>
      </c>
      <c r="E14" s="13">
        <f>MIN(Оценки!D25,Оценки!G25,Оценки!J25)</f>
        <v>3</v>
      </c>
      <c r="F14" s="13">
        <f>AVERAGE(Оценки!E25,Оценки!H25,Оценки!K25)</f>
        <v>8</v>
      </c>
      <c r="G14" s="13">
        <f>MAX(Оценки!F25,Оценки!I25,Оценки!L25)</f>
        <v>9</v>
      </c>
      <c r="H14" s="13">
        <f>MIN(Оценки!D29,Оценки!G29,Оценки!J29)</f>
        <v>3</v>
      </c>
      <c r="I14" s="13">
        <f>AVERAGE(Оценки!E29,Оценки!H29,Оценки!K29)</f>
        <v>6.333333333333333</v>
      </c>
      <c r="J14" s="13">
        <f>MAX(Оценки!F29,Оценки!I29,Оценки!L29)</f>
        <v>8</v>
      </c>
      <c r="K14" s="13">
        <f>MIN(Оценки!D33,Оценки!G33,Оценки!J33)</f>
        <v>5</v>
      </c>
      <c r="L14" s="13">
        <f>AVERAGE(Оценки!E33,Оценки!H33,Оценки!K33)</f>
        <v>8</v>
      </c>
      <c r="M14" s="13">
        <f>MAX(Оценки!F33,Оценки!I33,Оценки!L33)</f>
        <v>9</v>
      </c>
    </row>
    <row r="15" spans="1:13" x14ac:dyDescent="0.3">
      <c r="A15" s="4" t="s">
        <v>23</v>
      </c>
      <c r="B15" s="13">
        <f>MIN(Оценки!D22,Оценки!G22,Оценки!J22)</f>
        <v>3</v>
      </c>
      <c r="C15" s="13">
        <f>AVERAGE(Оценки!E22,Оценки!H22,Оценки!K22)</f>
        <v>6.666666666666667</v>
      </c>
      <c r="D15" s="13">
        <f>MAX(Оценки!F22,Оценки!I22,Оценки!L22)</f>
        <v>9</v>
      </c>
      <c r="E15" s="13">
        <f>MIN(Оценки!D26,Оценки!G26,Оценки!J26)</f>
        <v>1</v>
      </c>
      <c r="F15" s="13">
        <f>AVERAGE(Оценки!E26,Оценки!H26,Оценки!K26)</f>
        <v>4.666666666666667</v>
      </c>
      <c r="G15" s="13">
        <f>MAX(Оценки!F26,Оценки!I26,Оценки!L26)</f>
        <v>7</v>
      </c>
      <c r="H15" s="13">
        <f>MIN(Оценки!D30,Оценки!G30,Оценки!J30)</f>
        <v>2</v>
      </c>
      <c r="I15" s="13">
        <f>AVERAGE(Оценки!E30,Оценки!H30,Оценки!K30)</f>
        <v>4.333333333333333</v>
      </c>
      <c r="J15" s="13">
        <f>MAX(Оценки!F30,Оценки!I30,Оценки!L30)</f>
        <v>7</v>
      </c>
      <c r="K15" s="13">
        <f>MIN(Оценки!D34,Оценки!G34,Оценки!J34)</f>
        <v>3</v>
      </c>
      <c r="L15" s="13">
        <f>AVERAGE(Оценки!E34,Оценки!H34,Оценки!K34)</f>
        <v>6.666666666666667</v>
      </c>
      <c r="M15" s="13">
        <f>MAX(Оценки!F34,Оценки!I34,Оценки!L34)</f>
        <v>9</v>
      </c>
    </row>
    <row r="16" spans="1:13" x14ac:dyDescent="0.3">
      <c r="A16" s="4" t="s">
        <v>25</v>
      </c>
      <c r="B16" s="13">
        <f>MIN(Оценки!D23,Оценки!G23,Оценки!J23)</f>
        <v>1</v>
      </c>
      <c r="C16" s="13">
        <f>AVERAGE(Оценки!E23,Оценки!H23,Оценки!K23)</f>
        <v>4.333333333333333</v>
      </c>
      <c r="D16" s="13">
        <f>MAX(Оценки!F23,Оценки!I23,Оценки!L23)</f>
        <v>9</v>
      </c>
      <c r="E16" s="13">
        <f>MIN(Оценки!D27,Оценки!G27,Оценки!J27)</f>
        <v>4</v>
      </c>
      <c r="F16" s="13">
        <f>AVERAGE(Оценки!E27,Оценки!H27,Оценки!K27)</f>
        <v>5.666666666666667</v>
      </c>
      <c r="G16" s="13">
        <f>MAX(Оценки!F27,Оценки!I27,Оценки!L27)</f>
        <v>8</v>
      </c>
      <c r="H16" s="13">
        <f>MIN(Оценки!D31,Оценки!G31,Оценки!J31)</f>
        <v>4</v>
      </c>
      <c r="I16" s="13">
        <f>AVERAGE(Оценки!E31,Оценки!H31,Оценки!K31)</f>
        <v>5.666666666666667</v>
      </c>
      <c r="J16" s="13">
        <f>MAX(Оценки!F31,Оценки!I31,Оценки!L31)</f>
        <v>7</v>
      </c>
      <c r="K16" s="13">
        <f>MIN(Оценки!D35,Оценки!G35,Оценки!J35)</f>
        <v>4</v>
      </c>
      <c r="L16" s="13">
        <f>AVERAGE(Оценки!E35,Оценки!H35,Оценки!K35)</f>
        <v>6.666666666666667</v>
      </c>
      <c r="M16" s="13">
        <f>MAX(Оценки!F35,Оценки!I35,Оценки!L35)</f>
        <v>9</v>
      </c>
    </row>
    <row r="17" spans="1:13" x14ac:dyDescent="0.3">
      <c r="A17" s="4" t="s">
        <v>27</v>
      </c>
      <c r="B17" s="13">
        <f>MIN(Оценки!D24,Оценки!G24,Оценки!J24)</f>
        <v>1</v>
      </c>
      <c r="C17" s="13">
        <f>AVERAGE(Оценки!E24,Оценки!H24,Оценки!K24)</f>
        <v>3.3333333333333335</v>
      </c>
      <c r="D17" s="13">
        <f>MAX(Оценки!F24,Оценки!I24,Оценки!L24)</f>
        <v>7</v>
      </c>
      <c r="E17" s="13">
        <f>MIN(Оценки!D28,Оценки!G28,Оценки!J28)</f>
        <v>3</v>
      </c>
      <c r="F17" s="13">
        <f>AVERAGE(Оценки!E28,Оценки!H28,Оценки!K28)</f>
        <v>5.333333333333333</v>
      </c>
      <c r="G17" s="13">
        <f>MAX(Оценки!F28,Оценки!I28,Оценки!L28)</f>
        <v>8</v>
      </c>
      <c r="H17" s="13">
        <f>MIN(Оценки!D32,Оценки!G32,Оценки!J32)</f>
        <v>4</v>
      </c>
      <c r="I17" s="13">
        <f>AVERAGE(Оценки!E32,Оценки!H32,Оценки!K32)</f>
        <v>6.333333333333333</v>
      </c>
      <c r="J17" s="13">
        <f>MAX(Оценки!F32,Оценки!I32,Оценки!L32)</f>
        <v>9</v>
      </c>
      <c r="K17" s="13">
        <f>MIN(Оценки!D36,Оценки!G36,Оценки!J36)</f>
        <v>6</v>
      </c>
      <c r="L17" s="13">
        <f>AVERAGE(Оценки!E36,Оценки!H36,Оценки!K36)</f>
        <v>7.333333333333333</v>
      </c>
      <c r="M17" s="13">
        <f>MAX(Оценки!F36,Оценки!I36,Оценки!L36)</f>
        <v>9</v>
      </c>
    </row>
    <row r="21" spans="1:13" ht="15.6" x14ac:dyDescent="0.3">
      <c r="A21" s="1" t="s">
        <v>44</v>
      </c>
    </row>
    <row r="22" spans="1:13" ht="14.25" customHeight="1" x14ac:dyDescent="0.3">
      <c r="A22" s="21" t="s">
        <v>43</v>
      </c>
      <c r="B22" s="21" t="s">
        <v>11</v>
      </c>
      <c r="C22" s="21"/>
      <c r="D22" s="21"/>
      <c r="E22" s="21" t="s">
        <v>12</v>
      </c>
      <c r="F22" s="21"/>
      <c r="G22" s="21"/>
      <c r="H22" s="21" t="s">
        <v>15</v>
      </c>
      <c r="I22" s="21"/>
      <c r="J22" s="21"/>
      <c r="K22" s="21" t="s">
        <v>17</v>
      </c>
      <c r="L22" s="21"/>
      <c r="M22" s="21"/>
    </row>
    <row r="23" spans="1:13" x14ac:dyDescent="0.3">
      <c r="A23" s="21"/>
      <c r="B23" s="3" t="s">
        <v>34</v>
      </c>
      <c r="C23" s="3" t="s">
        <v>35</v>
      </c>
      <c r="D23" s="3" t="s">
        <v>36</v>
      </c>
      <c r="E23" s="3" t="s">
        <v>34</v>
      </c>
      <c r="F23" s="3" t="s">
        <v>35</v>
      </c>
      <c r="G23" s="3" t="s">
        <v>36</v>
      </c>
      <c r="H23" s="3" t="s">
        <v>34</v>
      </c>
      <c r="I23" s="3" t="s">
        <v>35</v>
      </c>
      <c r="J23" s="3" t="s">
        <v>36</v>
      </c>
      <c r="K23" s="3" t="s">
        <v>34</v>
      </c>
      <c r="L23" s="3" t="s">
        <v>35</v>
      </c>
      <c r="M23" s="3" t="s">
        <v>36</v>
      </c>
    </row>
    <row r="24" spans="1:13" x14ac:dyDescent="0.3">
      <c r="A24" s="4" t="s">
        <v>21</v>
      </c>
      <c r="B24" s="13">
        <f>B14/MAX(D14:D17)</f>
        <v>0.44444444444444442</v>
      </c>
      <c r="C24" s="13">
        <f>C14/MAX(D14:D17)</f>
        <v>0.70370370370370372</v>
      </c>
      <c r="D24" s="13">
        <f>D14/MAX(D14:D17)</f>
        <v>1</v>
      </c>
      <c r="E24" s="13">
        <f>E14/MAX(G$14:G$17)</f>
        <v>0.33333333333333331</v>
      </c>
      <c r="F24" s="13">
        <f>F14/MAX(G$14:G$17)</f>
        <v>0.88888888888888884</v>
      </c>
      <c r="G24" s="13">
        <f>G14/MAX(G$14:G$17)</f>
        <v>1</v>
      </c>
      <c r="H24" s="13">
        <f>H14/MAX(J$14:J$17)</f>
        <v>0.33333333333333331</v>
      </c>
      <c r="I24" s="13">
        <f>I14/MAX(J$14:J$17)</f>
        <v>0.70370370370370372</v>
      </c>
      <c r="J24" s="13">
        <f>J14/MAX(J$14:J$17)</f>
        <v>0.88888888888888884</v>
      </c>
      <c r="K24" s="13">
        <f>K14/MAX(M$14:M$17)</f>
        <v>0.55555555555555558</v>
      </c>
      <c r="L24" s="13">
        <f>L14/MAX(M$14:M$17)</f>
        <v>0.88888888888888884</v>
      </c>
      <c r="M24" s="13">
        <f>M14/MAX(M$14:M$17)</f>
        <v>1</v>
      </c>
    </row>
    <row r="25" spans="1:13" x14ac:dyDescent="0.3">
      <c r="A25" s="4" t="s">
        <v>23</v>
      </c>
      <c r="B25" s="13">
        <f>B15/MAX(D14:D17)</f>
        <v>0.33333333333333331</v>
      </c>
      <c r="C25" s="13">
        <f>C15/MAX(D14:D17)</f>
        <v>0.74074074074074081</v>
      </c>
      <c r="D25" s="13">
        <f>D15/MAX(D14:D17)</f>
        <v>1</v>
      </c>
      <c r="E25" s="13">
        <f>E15/MAX(G$14:G$17)</f>
        <v>0.1111111111111111</v>
      </c>
      <c r="F25" s="13">
        <f>F15/MAX(G$14:G$17)</f>
        <v>0.5185185185185186</v>
      </c>
      <c r="G25" s="13">
        <f>G15/MAX(G$14:G$17)</f>
        <v>0.77777777777777779</v>
      </c>
      <c r="H25" s="13">
        <f>H15/MAX(J$14:J$17)</f>
        <v>0.22222222222222221</v>
      </c>
      <c r="I25" s="13">
        <f>I15/MAX(J$14:J$17)</f>
        <v>0.48148148148148145</v>
      </c>
      <c r="J25" s="13">
        <f>J15/MAX(J$14:J$17)</f>
        <v>0.77777777777777779</v>
      </c>
      <c r="K25" s="13">
        <f>K15/MAX(M$14:M$17)</f>
        <v>0.33333333333333331</v>
      </c>
      <c r="L25" s="13">
        <f>L15/MAX(M$14:M$17)</f>
        <v>0.74074074074074081</v>
      </c>
      <c r="M25" s="13">
        <f>M15/MAX(M$14:M$17)</f>
        <v>1</v>
      </c>
    </row>
    <row r="26" spans="1:13" x14ac:dyDescent="0.3">
      <c r="A26" s="4" t="s">
        <v>25</v>
      </c>
      <c r="B26" s="13">
        <f>B16/MAX(D14:D17)</f>
        <v>0.1111111111111111</v>
      </c>
      <c r="C26" s="13">
        <f>C16/MAX(D14:D17)</f>
        <v>0.48148148148148145</v>
      </c>
      <c r="D26" s="13">
        <f>D16/MAX(D14:D17)</f>
        <v>1</v>
      </c>
      <c r="E26" s="13">
        <f>E16/MAX(G$14:G$17)</f>
        <v>0.44444444444444442</v>
      </c>
      <c r="F26" s="13">
        <f>F16/MAX(G$14:G$17)</f>
        <v>0.62962962962962965</v>
      </c>
      <c r="G26" s="13">
        <f>G16/MAX(G$14:G$17)</f>
        <v>0.88888888888888884</v>
      </c>
      <c r="H26" s="13">
        <f>H16/MAX(J$14:J$17)</f>
        <v>0.44444444444444442</v>
      </c>
      <c r="I26" s="13">
        <f>I16/MAX(J$14:J$17)</f>
        <v>0.62962962962962965</v>
      </c>
      <c r="J26" s="13">
        <f>J16/MAX(J$14:J$17)</f>
        <v>0.77777777777777779</v>
      </c>
      <c r="K26" s="13">
        <f>K16/MAX(M$14:M$17)</f>
        <v>0.44444444444444442</v>
      </c>
      <c r="L26" s="13">
        <f>L16/MAX(M$14:M$17)</f>
        <v>0.74074074074074081</v>
      </c>
      <c r="M26" s="13">
        <f>M16/MAX(M$14:M$17)</f>
        <v>1</v>
      </c>
    </row>
    <row r="27" spans="1:13" x14ac:dyDescent="0.3">
      <c r="A27" s="4" t="s">
        <v>27</v>
      </c>
      <c r="B27" s="13">
        <f>B17/MAX(D14:D17)</f>
        <v>0.1111111111111111</v>
      </c>
      <c r="C27" s="13">
        <f>C17/MAX(D14:D17)</f>
        <v>0.37037037037037041</v>
      </c>
      <c r="D27" s="13">
        <f>D17/MAX(D14:D17)</f>
        <v>0.77777777777777779</v>
      </c>
      <c r="E27" s="13">
        <f>E17/MAX(G$14:G$17)</f>
        <v>0.33333333333333331</v>
      </c>
      <c r="F27" s="13">
        <f>F17/MAX(G$14:G$17)</f>
        <v>0.59259259259259256</v>
      </c>
      <c r="G27" s="13">
        <f>G17/MAX(G$14:G$17)</f>
        <v>0.88888888888888884</v>
      </c>
      <c r="H27" s="13">
        <f>H17/MAX(J$14:J$17)</f>
        <v>0.44444444444444442</v>
      </c>
      <c r="I27" s="13">
        <f>I17/MAX(J$14:J$17)</f>
        <v>0.70370370370370372</v>
      </c>
      <c r="J27" s="13">
        <f>J17/MAX(J$14:J$17)</f>
        <v>1</v>
      </c>
      <c r="K27" s="13">
        <f>K17/MAX(M$14:M$17)</f>
        <v>0.66666666666666663</v>
      </c>
      <c r="L27" s="13">
        <f>L17/MAX(M$14:M$17)</f>
        <v>0.81481481481481477</v>
      </c>
      <c r="M27" s="13">
        <f>M17/MAX(M$14:M$17)</f>
        <v>1</v>
      </c>
    </row>
    <row r="31" spans="1:13" ht="15.6" x14ac:dyDescent="0.3">
      <c r="A31" s="1" t="s">
        <v>45</v>
      </c>
    </row>
    <row r="32" spans="1:13" ht="14.25" customHeight="1" x14ac:dyDescent="0.3">
      <c r="A32" s="21" t="s">
        <v>43</v>
      </c>
      <c r="B32" s="21" t="s">
        <v>11</v>
      </c>
      <c r="C32" s="21"/>
      <c r="D32" s="21"/>
      <c r="E32" s="21" t="s">
        <v>12</v>
      </c>
      <c r="F32" s="21"/>
      <c r="G32" s="21"/>
      <c r="H32" s="21" t="s">
        <v>15</v>
      </c>
      <c r="I32" s="21"/>
      <c r="J32" s="21"/>
      <c r="K32" s="21" t="s">
        <v>17</v>
      </c>
      <c r="L32" s="21"/>
      <c r="M32" s="21"/>
    </row>
    <row r="33" spans="1:13" x14ac:dyDescent="0.3">
      <c r="A33" s="21"/>
      <c r="B33" s="3" t="s">
        <v>34</v>
      </c>
      <c r="C33" s="3" t="s">
        <v>35</v>
      </c>
      <c r="D33" s="3" t="s">
        <v>36</v>
      </c>
      <c r="E33" s="3" t="s">
        <v>34</v>
      </c>
      <c r="F33" s="3" t="s">
        <v>35</v>
      </c>
      <c r="G33" s="3" t="s">
        <v>36</v>
      </c>
      <c r="H33" s="3" t="s">
        <v>34</v>
      </c>
      <c r="I33" s="3" t="s">
        <v>35</v>
      </c>
      <c r="J33" s="3" t="s">
        <v>36</v>
      </c>
      <c r="K33" s="3" t="s">
        <v>34</v>
      </c>
      <c r="L33" s="3" t="s">
        <v>35</v>
      </c>
      <c r="M33" s="3" t="s">
        <v>36</v>
      </c>
    </row>
    <row r="34" spans="1:13" x14ac:dyDescent="0.3">
      <c r="A34" s="4" t="s">
        <v>21</v>
      </c>
      <c r="B34" s="13">
        <f>B24*$G$6</f>
        <v>0.24691358024691357</v>
      </c>
      <c r="C34" s="13">
        <f>C24*$H$6</f>
        <v>0.5473251028806585</v>
      </c>
      <c r="D34" s="13">
        <f>D24*$I$6</f>
        <v>1</v>
      </c>
      <c r="E34" s="13">
        <f>E24*$G$7</f>
        <v>0.18518518518518517</v>
      </c>
      <c r="F34" s="13">
        <f>F24*$H$7</f>
        <v>0.82304526748971196</v>
      </c>
      <c r="G34" s="13">
        <f>G24*$I$7</f>
        <v>1</v>
      </c>
      <c r="H34" s="13">
        <f>H24*$G$8</f>
        <v>0.18518518518518517</v>
      </c>
      <c r="I34" s="13">
        <f>I24*$H$8</f>
        <v>0.5473251028806585</v>
      </c>
      <c r="J34" s="13">
        <f>J24*$I$8</f>
        <v>0.88888888888888884</v>
      </c>
      <c r="K34" s="13">
        <f>K24*$G$9</f>
        <v>0.18518518518518517</v>
      </c>
      <c r="L34" s="13">
        <f>L24*$H$9</f>
        <v>0.65843621399176955</v>
      </c>
      <c r="M34" s="13">
        <f>M24*$I$9</f>
        <v>1</v>
      </c>
    </row>
    <row r="35" spans="1:13" x14ac:dyDescent="0.3">
      <c r="A35" s="4" t="s">
        <v>23</v>
      </c>
      <c r="B35" s="13">
        <f>B25*$G$6</f>
        <v>0.18518518518518517</v>
      </c>
      <c r="C35" s="13">
        <f>C25*$H$6</f>
        <v>0.5761316872427984</v>
      </c>
      <c r="D35" s="13">
        <f>D25*$I$6</f>
        <v>1</v>
      </c>
      <c r="E35" s="13">
        <f>E25*$G$7</f>
        <v>6.1728395061728392E-2</v>
      </c>
      <c r="F35" s="13">
        <f>F25*$H$7</f>
        <v>0.48010973936899876</v>
      </c>
      <c r="G35" s="13">
        <f>G25*$I$7</f>
        <v>0.77777777777777779</v>
      </c>
      <c r="H35" s="13">
        <f>H25*$G$8</f>
        <v>0.12345679012345678</v>
      </c>
      <c r="I35" s="13">
        <f>I25*$H$8</f>
        <v>0.37448559670781889</v>
      </c>
      <c r="J35" s="13">
        <f>J25*$I$8</f>
        <v>0.77777777777777779</v>
      </c>
      <c r="K35" s="13">
        <f>K25*$G$9</f>
        <v>0.1111111111111111</v>
      </c>
      <c r="L35" s="13">
        <f>L25*$H$9</f>
        <v>0.54869684499314142</v>
      </c>
      <c r="M35" s="13">
        <f>M25*$I$9</f>
        <v>1</v>
      </c>
    </row>
    <row r="36" spans="1:13" x14ac:dyDescent="0.3">
      <c r="A36" s="4" t="s">
        <v>25</v>
      </c>
      <c r="B36" s="13">
        <f>B26*$G$6</f>
        <v>6.1728395061728392E-2</v>
      </c>
      <c r="C36" s="13">
        <f>C26*$H$6</f>
        <v>0.37448559670781889</v>
      </c>
      <c r="D36" s="13">
        <f>D26*$I$6</f>
        <v>1</v>
      </c>
      <c r="E36" s="13">
        <f>E26*$G$7</f>
        <v>0.24691358024691357</v>
      </c>
      <c r="F36" s="13">
        <f>F26*$H$7</f>
        <v>0.58299039780521267</v>
      </c>
      <c r="G36" s="13">
        <f>G26*$I$7</f>
        <v>0.88888888888888884</v>
      </c>
      <c r="H36" s="13">
        <f>H26*$G$8</f>
        <v>0.24691358024691357</v>
      </c>
      <c r="I36" s="13">
        <f>I26*$H$8</f>
        <v>0.48971193415637865</v>
      </c>
      <c r="J36" s="13">
        <f>J26*$I$8</f>
        <v>0.77777777777777779</v>
      </c>
      <c r="K36" s="13">
        <f>K26*$G$9</f>
        <v>0.14814814814814814</v>
      </c>
      <c r="L36" s="13">
        <f>L26*$H$9</f>
        <v>0.54869684499314142</v>
      </c>
      <c r="M36" s="13">
        <f>M26*$I$9</f>
        <v>1</v>
      </c>
    </row>
    <row r="37" spans="1:13" x14ac:dyDescent="0.3">
      <c r="A37" s="4" t="s">
        <v>27</v>
      </c>
      <c r="B37" s="13">
        <f>B27*$G$6</f>
        <v>6.1728395061728392E-2</v>
      </c>
      <c r="C37" s="13">
        <f>C27*$H$6</f>
        <v>0.2880658436213992</v>
      </c>
      <c r="D37" s="13">
        <f>D27*$I$6</f>
        <v>0.77777777777777779</v>
      </c>
      <c r="E37" s="13">
        <f>E27*$G$7</f>
        <v>0.18518518518518517</v>
      </c>
      <c r="F37" s="13">
        <f>F27*$H$7</f>
        <v>0.54869684499314131</v>
      </c>
      <c r="G37" s="13">
        <f>G27*$I$7</f>
        <v>0.88888888888888884</v>
      </c>
      <c r="H37" s="13">
        <f>H27*$G$8</f>
        <v>0.24691358024691357</v>
      </c>
      <c r="I37" s="13">
        <f>I27*$H$8</f>
        <v>0.5473251028806585</v>
      </c>
      <c r="J37" s="13">
        <f>J27*$I$8</f>
        <v>1</v>
      </c>
      <c r="K37" s="13">
        <f>K27*$G$9</f>
        <v>0.22222222222222221</v>
      </c>
      <c r="L37" s="13">
        <f>L27*$H$9</f>
        <v>0.60356652949245548</v>
      </c>
      <c r="M37" s="13">
        <f>M27*$I$9</f>
        <v>1</v>
      </c>
    </row>
    <row r="42" spans="1:13" ht="15.6" x14ac:dyDescent="0.3">
      <c r="A42" s="1" t="s">
        <v>46</v>
      </c>
    </row>
    <row r="43" spans="1:13" x14ac:dyDescent="0.3">
      <c r="A43" s="3" t="s">
        <v>43</v>
      </c>
      <c r="B43" s="3" t="s">
        <v>47</v>
      </c>
      <c r="C43" s="3" t="s">
        <v>48</v>
      </c>
      <c r="D43" s="3" t="s">
        <v>49</v>
      </c>
      <c r="E43" s="3" t="s">
        <v>50</v>
      </c>
    </row>
    <row r="44" spans="1:13" x14ac:dyDescent="0.3">
      <c r="A44" s="4" t="s">
        <v>21</v>
      </c>
      <c r="B44" s="13">
        <f>SQRT(((B34-1)^2+(C34-1)^2+(D34-1)^2)/3)+SQRT(((E34-1)^2+(F34-1)^2+(G34-1)^2)/3)+SQRT(((H34-1)^2+(I34-1)^2+(J34-1)^2)/3)+SQRT(((K34-1)^2+(L34-1)^2+(M34-1)^2)/3)</f>
        <v>2.0407584312837974</v>
      </c>
      <c r="C44" s="13">
        <f>SQRT((B34^2+C34^2+D34^2)/3)+SQRT((E34^2+F34^2+G34^2)/3)+SQRT((H34^2+I34^2+J34^2)/3)+SQRT((K34^2+L34^2+M34^2)/3)</f>
        <v>2.740368585832861</v>
      </c>
      <c r="D44" s="15">
        <f>C44/(B44+C44)</f>
        <v>0.57316372813820116</v>
      </c>
      <c r="E44" s="8">
        <f>RANK(D44,$D$44:$D$47,0)</f>
        <v>1</v>
      </c>
    </row>
    <row r="45" spans="1:13" x14ac:dyDescent="0.3">
      <c r="A45" s="4" t="s">
        <v>23</v>
      </c>
      <c r="B45" s="13">
        <f>SQRT(((B35-1)^2+(C35-1)^2+(D35-1)^2)/3)+SQRT(((E35-1)^2+(F35-1)^2+(G35-1)^2)/3)+SQRT(((H35-1)^2+(I35-1)^2+(J35-1)^2)/3)+SQRT(((K35-1)^2+(L35-1)^2+(M35-1)^2)/3)</f>
        <v>2.3731148189882272</v>
      </c>
      <c r="C45" s="13">
        <f>SQRT((B35^2+C35^2+D35^2)/3)+SQRT((E35^2+F35^2+G35^2)/3)+SQRT((H35^2+I35^2+J35^2)/3)+SQRT((K35^2+L35^2+M35^2)/3)</f>
        <v>2.3688830132393699</v>
      </c>
      <c r="D45" s="15">
        <f>C45/(B45+C45)</f>
        <v>0.49955379505657965</v>
      </c>
      <c r="E45" s="8">
        <f>RANK(D45,$D$44:$D$47,0)</f>
        <v>4</v>
      </c>
    </row>
    <row r="46" spans="1:13" x14ac:dyDescent="0.3">
      <c r="A46" s="4" t="s">
        <v>25</v>
      </c>
      <c r="B46" s="13">
        <f>SQRT(((B36-1)^2+(C36-1)^2+(D36-1)^2)/3)+SQRT(((E36-1)^2+(F36-1)^2+(G36-1)^2)/3)+SQRT(((H36-1)^2+(I36-1)^2+(J36-1)^2)/3)+SQRT(((K36-1)^2+(L36-1)^2+(M36-1)^2)/3)</f>
        <v>2.249409348136211</v>
      </c>
      <c r="C46" s="13">
        <f>SQRT((B36^2+C36^2+D36^2)/3)+SQRT((E36^2+F36^2+G36^2)/3)+SQRT((H36^2+I36^2+J36^2)/3)+SQRT((K36^2+L36^2+M36^2)/3)</f>
        <v>2.4611495777278729</v>
      </c>
      <c r="D46" s="15">
        <f>C46/(B46+C46)</f>
        <v>0.5224750643102104</v>
      </c>
      <c r="E46" s="8">
        <f>RANK(D46,$D$44:$D$47,0)</f>
        <v>2</v>
      </c>
    </row>
    <row r="47" spans="1:13" x14ac:dyDescent="0.3">
      <c r="A47" s="4" t="s">
        <v>27</v>
      </c>
      <c r="B47" s="13">
        <f>SQRT(((B37-1)^2+(C37-1)^2+(D37-1)^2)/3)+SQRT(((E37-1)^2+(F37-1)^2+(G37-1)^2)/3)+SQRT(((H37-1)^2+(I37-1)^2+(J37-1)^2)/3)+SQRT(((K37-1)^2+(L37-1)^2+(M37-1)^2)/3)</f>
        <v>2.244898269328174</v>
      </c>
      <c r="C47" s="13">
        <f>SQRT((B37^2+C37^2+D37^2)/3)+SQRT((E37^2+F37^2+G37^2)/3)+SQRT((H37^2+I37^2+J37^2)/3)+SQRT((K37^2+L37^2+M37^2)/3)</f>
        <v>2.4525788329361395</v>
      </c>
      <c r="D47" s="15">
        <f>C47/(B47+C47)</f>
        <v>0.52210554294217393</v>
      </c>
      <c r="E47" s="8">
        <f>RANK(D47,$D$44:$D$47,0)</f>
        <v>3</v>
      </c>
    </row>
  </sheetData>
  <mergeCells count="15">
    <mergeCell ref="A12:A13"/>
    <mergeCell ref="B12:D12"/>
    <mergeCell ref="E12:G12"/>
    <mergeCell ref="H12:J12"/>
    <mergeCell ref="K12:M12"/>
    <mergeCell ref="A22:A23"/>
    <mergeCell ref="B22:D22"/>
    <mergeCell ref="E22:G22"/>
    <mergeCell ref="H22:J22"/>
    <mergeCell ref="K22:M22"/>
    <mergeCell ref="A32:A33"/>
    <mergeCell ref="B32:D32"/>
    <mergeCell ref="E32:G32"/>
    <mergeCell ref="H32:J32"/>
    <mergeCell ref="K32:M3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0"/>
  <sheetViews>
    <sheetView showGridLines="0" topLeftCell="A17" zoomScaleNormal="100" workbookViewId="0">
      <selection activeCell="L29" sqref="L29"/>
    </sheetView>
  </sheetViews>
  <sheetFormatPr defaultColWidth="8.6640625" defaultRowHeight="14.4" x14ac:dyDescent="0.3"/>
  <cols>
    <col min="1" max="1" width="14" customWidth="1"/>
    <col min="2" max="8" width="13" customWidth="1"/>
  </cols>
  <sheetData>
    <row r="1" spans="1:5" ht="15.6" x14ac:dyDescent="0.3">
      <c r="A1" s="1" t="s">
        <v>51</v>
      </c>
    </row>
    <row r="2" spans="1:5" x14ac:dyDescent="0.3">
      <c r="A2" s="12" t="s">
        <v>52</v>
      </c>
    </row>
    <row r="4" spans="1:5" ht="15.6" x14ac:dyDescent="0.3">
      <c r="A4" s="1" t="s">
        <v>53</v>
      </c>
    </row>
    <row r="5" spans="1:5" ht="26.4" x14ac:dyDescent="0.3">
      <c r="A5" s="3" t="s">
        <v>3</v>
      </c>
      <c r="B5" s="3" t="s">
        <v>5</v>
      </c>
      <c r="C5" s="3" t="s">
        <v>6</v>
      </c>
      <c r="D5" s="3" t="s">
        <v>7</v>
      </c>
    </row>
    <row r="6" spans="1:5" x14ac:dyDescent="0.3">
      <c r="A6" s="4" t="s">
        <v>11</v>
      </c>
      <c r="B6" s="13">
        <f>(Оценки!D6+4*Оценки!E6+Оценки!F6)/6</f>
        <v>7.833333333333333</v>
      </c>
      <c r="C6" s="13">
        <f>(Оценки!G6+4*Оценки!H6+Оценки!I6)/6</f>
        <v>6</v>
      </c>
      <c r="D6" s="13">
        <f>(Оценки!J6+4*Оценки!K6+Оценки!L6)/6</f>
        <v>7.333333333333333</v>
      </c>
    </row>
    <row r="7" spans="1:5" x14ac:dyDescent="0.3">
      <c r="A7" s="4" t="s">
        <v>12</v>
      </c>
      <c r="B7" s="13">
        <f>(Оценки!D7+4*Оценки!E7+Оценки!F7)/6</f>
        <v>8.6666666666666661</v>
      </c>
      <c r="C7" s="13">
        <f>(Оценки!G7+4*Оценки!H7+Оценки!I7)/6</f>
        <v>8.8333333333333339</v>
      </c>
      <c r="D7" s="13">
        <f>(Оценки!J7+4*Оценки!K7+Оценки!L7)/6</f>
        <v>6.833333333333333</v>
      </c>
    </row>
    <row r="8" spans="1:5" x14ac:dyDescent="0.3">
      <c r="A8" s="4" t="s">
        <v>15</v>
      </c>
      <c r="B8" s="13">
        <f>(Оценки!D8+4*Оценки!E8+Оценки!F8)/6</f>
        <v>8.5</v>
      </c>
      <c r="C8" s="13">
        <f>(Оценки!G8+4*Оценки!H8+Оценки!I8)/6</f>
        <v>6</v>
      </c>
      <c r="D8" s="13">
        <f>(Оценки!J8+4*Оценки!K8+Оценки!L8)/6</f>
        <v>6.5</v>
      </c>
    </row>
    <row r="9" spans="1:5" x14ac:dyDescent="0.3">
      <c r="A9" s="4" t="s">
        <v>17</v>
      </c>
      <c r="B9" s="13">
        <f>(Оценки!D9+4*Оценки!E9+Оценки!F9)/6</f>
        <v>4.833333333333333</v>
      </c>
      <c r="C9" s="13">
        <f>(Оценки!G9+4*Оценки!H9+Оценки!I9)/6</f>
        <v>7</v>
      </c>
      <c r="D9" s="13">
        <f>(Оценки!J9+4*Оценки!K9+Оценки!L9)/6</f>
        <v>8</v>
      </c>
    </row>
    <row r="12" spans="1:5" ht="15.6" x14ac:dyDescent="0.3">
      <c r="A12" s="1" t="s">
        <v>54</v>
      </c>
    </row>
    <row r="13" spans="1:5" ht="26.4" x14ac:dyDescent="0.3">
      <c r="A13" s="3" t="s">
        <v>3</v>
      </c>
      <c r="B13" s="3" t="s">
        <v>43</v>
      </c>
      <c r="C13" s="3" t="s">
        <v>5</v>
      </c>
      <c r="D13" s="3" t="s">
        <v>6</v>
      </c>
      <c r="E13" s="3" t="s">
        <v>7</v>
      </c>
    </row>
    <row r="14" spans="1:5" x14ac:dyDescent="0.3">
      <c r="A14" s="4" t="s">
        <v>11</v>
      </c>
      <c r="B14" s="8" t="s">
        <v>21</v>
      </c>
      <c r="C14" s="13">
        <f>IF(Оценки!$C$6="затратный",10-(Оценки!D21+4*Оценки!E21+Оценки!F21)/6,(Оценки!D21+4*Оценки!E21+Оценки!F21)/6)</f>
        <v>7</v>
      </c>
      <c r="D14" s="13">
        <f>IF(Оценки!$C$6="затратный",10-(Оценки!G21+4*Оценки!H21+Оценки!I21)/6,(Оценки!G21+4*Оценки!H21+Оценки!I21)/6)</f>
        <v>6.166666666666667</v>
      </c>
      <c r="E14" s="13">
        <f>IF(Оценки!$C$6="затратный",10-(Оценки!J21+4*Оценки!K21+Оценки!L21)/6,(Оценки!J21+4*Оценки!K21+Оценки!L21)/6)</f>
        <v>5.833333333333333</v>
      </c>
    </row>
    <row r="15" spans="1:5" x14ac:dyDescent="0.3">
      <c r="A15" s="4" t="s">
        <v>11</v>
      </c>
      <c r="B15" s="8" t="s">
        <v>23</v>
      </c>
      <c r="C15" s="13">
        <f>IF(Оценки!$C$6="затратный",10-(Оценки!D22+4*Оценки!E22+Оценки!F22)/6,(Оценки!D22+4*Оценки!E22+Оценки!F22)/6)</f>
        <v>8.6666666666666661</v>
      </c>
      <c r="D15" s="13">
        <f>IF(Оценки!$C$6="затратный",10-(Оценки!G22+4*Оценки!H22+Оценки!I22)/6,(Оценки!G22+4*Оценки!H22+Оценки!I22)/6)</f>
        <v>4.833333333333333</v>
      </c>
      <c r="E15" s="13">
        <f>IF(Оценки!$C$6="затратный",10-(Оценки!J22+4*Оценки!K22+Оценки!L22)/6,(Оценки!J22+4*Оценки!K22+Оценки!L22)/6)</f>
        <v>5.833333333333333</v>
      </c>
    </row>
    <row r="16" spans="1:5" x14ac:dyDescent="0.3">
      <c r="A16" s="4" t="s">
        <v>11</v>
      </c>
      <c r="B16" s="8" t="s">
        <v>25</v>
      </c>
      <c r="C16" s="13">
        <f>IF(Оценки!$C$6="затратный",10-(Оценки!D23+4*Оценки!E23+Оценки!F23)/6,(Оценки!D23+4*Оценки!E23+Оценки!F23)/6)</f>
        <v>7.833333333333333</v>
      </c>
      <c r="D16" s="13">
        <f>IF(Оценки!$C$6="затратный",10-(Оценки!G23+4*Оценки!H23+Оценки!I23)/6,(Оценки!G23+4*Оценки!H23+Оценки!I23)/6)</f>
        <v>3.1666666666666665</v>
      </c>
      <c r="E16" s="13">
        <f>IF(Оценки!$C$6="затратный",10-(Оценки!J23+4*Оценки!K23+Оценки!L23)/6,(Оценки!J23+4*Оценки!K23+Оценки!L23)/6)</f>
        <v>2.1666666666666665</v>
      </c>
    </row>
    <row r="17" spans="1:5" x14ac:dyDescent="0.3">
      <c r="A17" s="4" t="s">
        <v>11</v>
      </c>
      <c r="B17" s="8" t="s">
        <v>27</v>
      </c>
      <c r="C17" s="13">
        <f>IF(Оценки!$C$6="затратный",10-(Оценки!D24+4*Оценки!E24+Оценки!F24)/6,(Оценки!D24+4*Оценки!E24+Оценки!F24)/6)</f>
        <v>5</v>
      </c>
      <c r="D17" s="13">
        <f>IF(Оценки!$C$6="затратный",10-(Оценки!G24+4*Оценки!H24+Оценки!I24)/6,(Оценки!G24+4*Оценки!H24+Оценки!I24)/6)</f>
        <v>2</v>
      </c>
      <c r="E17" s="13">
        <f>IF(Оценки!$C$6="затратный",10-(Оценки!J24+4*Оценки!K24+Оценки!L24)/6,(Оценки!J24+4*Оценки!K24+Оценки!L24)/6)</f>
        <v>3.1666666666666665</v>
      </c>
    </row>
    <row r="18" spans="1:5" x14ac:dyDescent="0.3">
      <c r="A18" s="9" t="s">
        <v>12</v>
      </c>
      <c r="B18" s="10" t="s">
        <v>21</v>
      </c>
      <c r="C18" s="16">
        <f>IF(Оценки!$C$7="затратный",10-(Оценки!D25+4*Оценки!E25+Оценки!F25)/6,(Оценки!D25+4*Оценки!E25+Оценки!F25)/6)</f>
        <v>5.666666666666667</v>
      </c>
      <c r="D18" s="16">
        <f>IF(Оценки!$C$7="затратный",10-(Оценки!G25+4*Оценки!H25+Оценки!I25)/6,(Оценки!G25+4*Оценки!H25+Оценки!I25)/6)</f>
        <v>8.8333333333333339</v>
      </c>
      <c r="E18" s="16">
        <f>IF(Оценки!$C$7="затратный",10-(Оценки!J25+4*Оценки!K25+Оценки!L25)/6,(Оценки!J25+4*Оценки!K25+Оценки!L25)/6)</f>
        <v>8.6666666666666661</v>
      </c>
    </row>
    <row r="19" spans="1:5" x14ac:dyDescent="0.3">
      <c r="A19" s="9" t="s">
        <v>12</v>
      </c>
      <c r="B19" s="10" t="s">
        <v>23</v>
      </c>
      <c r="C19" s="16">
        <f>IF(Оценки!$C$7="затратный",10-(Оценки!D26+4*Оценки!E26+Оценки!F26)/6,(Оценки!D26+4*Оценки!E26+Оценки!F26)/6)</f>
        <v>2.8333333333333335</v>
      </c>
      <c r="D19" s="16">
        <f>IF(Оценки!$C$7="затратный",10-(Оценки!G26+4*Оценки!H26+Оценки!I26)/6,(Оценки!G26+4*Оценки!H26+Оценки!I26)/6)</f>
        <v>5</v>
      </c>
      <c r="E19" s="16">
        <f>IF(Оценки!$C$7="затратный",10-(Оценки!J26+4*Оценки!K26+Оценки!L26)/6,(Оценки!J26+4*Оценки!K26+Оценки!L26)/6)</f>
        <v>5.833333333333333</v>
      </c>
    </row>
    <row r="20" spans="1:5" x14ac:dyDescent="0.3">
      <c r="A20" s="9" t="s">
        <v>12</v>
      </c>
      <c r="B20" s="10" t="s">
        <v>25</v>
      </c>
      <c r="C20" s="16">
        <f>IF(Оценки!$C$7="затратный",10-(Оценки!D27+4*Оценки!E27+Оценки!F27)/6,(Оценки!D27+4*Оценки!E27+Оценки!F27)/6)</f>
        <v>6</v>
      </c>
      <c r="D20" s="16">
        <f>IF(Оценки!$C$7="затратный",10-(Оценки!G27+4*Оценки!H27+Оценки!I27)/6,(Оценки!G27+4*Оценки!H27+Оценки!I27)/6)</f>
        <v>5.166666666666667</v>
      </c>
      <c r="E20" s="16">
        <f>IF(Оценки!$C$7="затратный",10-(Оценки!J27+4*Оценки!K27+Оценки!L27)/6,(Оценки!J27+4*Оценки!K27+Оценки!L27)/6)</f>
        <v>6.166666666666667</v>
      </c>
    </row>
    <row r="21" spans="1:5" x14ac:dyDescent="0.3">
      <c r="A21" s="9" t="s">
        <v>12</v>
      </c>
      <c r="B21" s="10" t="s">
        <v>27</v>
      </c>
      <c r="C21" s="16">
        <f>IF(Оценки!$C$7="затратный",10-(Оценки!D28+4*Оценки!E28+Оценки!F28)/6,(Оценки!D28+4*Оценки!E28+Оценки!F28)/6)</f>
        <v>6.833333333333333</v>
      </c>
      <c r="D21" s="16">
        <f>IF(Оценки!$C$7="затратный",10-(Оценки!G28+4*Оценки!H28+Оценки!I28)/6,(Оценки!G28+4*Оценки!H28+Оценки!I28)/6)</f>
        <v>4.166666666666667</v>
      </c>
      <c r="E21" s="16">
        <f>IF(Оценки!$C$7="затратный",10-(Оценки!J28+4*Оценки!K28+Оценки!L28)/6,(Оценки!J28+4*Оценки!K28+Оценки!L28)/6)</f>
        <v>5</v>
      </c>
    </row>
    <row r="22" spans="1:5" x14ac:dyDescent="0.3">
      <c r="A22" s="4" t="s">
        <v>15</v>
      </c>
      <c r="B22" s="8" t="s">
        <v>21</v>
      </c>
      <c r="C22" s="13">
        <f>IF(Оценки!$C$8="затратный",10-(Оценки!D29+4*Оценки!E29+Оценки!F29)/6,(Оценки!D29+4*Оценки!E29+Оценки!F29)/6)</f>
        <v>4.666666666666667</v>
      </c>
      <c r="D22" s="13">
        <f>IF(Оценки!$C$8="затратный",10-(Оценки!G29+4*Оценки!H29+Оценки!I29)/6,(Оценки!G29+4*Оценки!H29+Оценки!I29)/6)</f>
        <v>7</v>
      </c>
      <c r="E22" s="13">
        <f>IF(Оценки!$C$8="затратный",10-(Оценки!J29+4*Оценки!K29+Оценки!L29)/6,(Оценки!J29+4*Оценки!K29+Оценки!L29)/6)</f>
        <v>7</v>
      </c>
    </row>
    <row r="23" spans="1:5" x14ac:dyDescent="0.3">
      <c r="A23" s="4" t="s">
        <v>15</v>
      </c>
      <c r="B23" s="8" t="s">
        <v>23</v>
      </c>
      <c r="C23" s="13">
        <f>IF(Оценки!$C$8="затратный",10-(Оценки!D30+4*Оценки!E30+Оценки!F30)/6,(Оценки!D30+4*Оценки!E30+Оценки!F30)/6)</f>
        <v>3.8333333333333335</v>
      </c>
      <c r="D23" s="13">
        <f>IF(Оценки!$C$8="затратный",10-(Оценки!G30+4*Оценки!H30+Оценки!I30)/6,(Оценки!G30+4*Оценки!H30+Оценки!I30)/6)</f>
        <v>5</v>
      </c>
      <c r="E23" s="13">
        <f>IF(Оценки!$C$8="затратный",10-(Оценки!J30+4*Оценки!K30+Оценки!L30)/6,(Оценки!J30+4*Оценки!K30+Оценки!L30)/6)</f>
        <v>4.333333333333333</v>
      </c>
    </row>
    <row r="24" spans="1:5" x14ac:dyDescent="0.3">
      <c r="A24" s="4" t="s">
        <v>15</v>
      </c>
      <c r="B24" s="8" t="s">
        <v>25</v>
      </c>
      <c r="C24" s="13">
        <f>IF(Оценки!$C$8="затратный",10-(Оценки!D31+4*Оценки!E31+Оценки!F31)/6,(Оценки!D31+4*Оценки!E31+Оценки!F31)/6)</f>
        <v>6.666666666666667</v>
      </c>
      <c r="D24" s="13">
        <f>IF(Оценки!$C$8="затратный",10-(Оценки!G31+4*Оценки!H31+Оценки!I31)/6,(Оценки!G31+4*Оценки!H31+Оценки!I31)/6)</f>
        <v>5</v>
      </c>
      <c r="E24" s="13">
        <f>IF(Оценки!$C$8="затратный",10-(Оценки!J31+4*Оценки!K31+Оценки!L31)/6,(Оценки!J31+4*Оценки!K31+Оценки!L31)/6)</f>
        <v>5</v>
      </c>
    </row>
    <row r="25" spans="1:5" x14ac:dyDescent="0.3">
      <c r="A25" s="4" t="s">
        <v>15</v>
      </c>
      <c r="B25" s="8" t="s">
        <v>27</v>
      </c>
      <c r="C25" s="13">
        <f>IF(Оценки!$C$8="затратный",10-(Оценки!D32+4*Оценки!E32+Оценки!F32)/6,(Оценки!D32+4*Оценки!E32+Оценки!F32)/6)</f>
        <v>7</v>
      </c>
      <c r="D25" s="13">
        <f>IF(Оценки!$C$8="затратный",10-(Оценки!G32+4*Оценки!H32+Оценки!I32)/6,(Оценки!G32+4*Оценки!H32+Оценки!I32)/6)</f>
        <v>6</v>
      </c>
      <c r="E25" s="13">
        <f>IF(Оценки!$C$8="затратный",10-(Оценки!J32+4*Оценки!K32+Оценки!L32)/6,(Оценки!J32+4*Оценки!K32+Оценки!L32)/6)</f>
        <v>5.833333333333333</v>
      </c>
    </row>
    <row r="26" spans="1:5" x14ac:dyDescent="0.3">
      <c r="A26" s="9" t="s">
        <v>17</v>
      </c>
      <c r="B26" s="10" t="s">
        <v>21</v>
      </c>
      <c r="C26" s="16">
        <f>IF(Оценки!$C$9="затратный",10-(Оценки!D33+4*Оценки!E33+Оценки!F33)/6,(Оценки!D33+4*Оценки!E33+Оценки!F33)/6)</f>
        <v>6.666666666666667</v>
      </c>
      <c r="D26" s="16">
        <f>IF(Оценки!$C$9="затратный",10-(Оценки!G33+4*Оценки!H33+Оценки!I33)/6,(Оценки!G33+4*Оценки!H33+Оценки!I33)/6)</f>
        <v>8</v>
      </c>
      <c r="E26" s="16">
        <f>IF(Оценки!$C$9="затратный",10-(Оценки!J33+4*Оценки!K33+Оценки!L33)/6,(Оценки!J33+4*Оценки!K33+Оценки!L33)/6)</f>
        <v>8.8333333333333339</v>
      </c>
    </row>
    <row r="27" spans="1:5" x14ac:dyDescent="0.3">
      <c r="A27" s="9" t="s">
        <v>17</v>
      </c>
      <c r="B27" s="10" t="s">
        <v>23</v>
      </c>
      <c r="C27" s="16">
        <f>IF(Оценки!$C$9="затратный",10-(Оценки!D34+4*Оценки!E34+Оценки!F34)/6,(Оценки!D34+4*Оценки!E34+Оценки!F34)/6)</f>
        <v>4.833333333333333</v>
      </c>
      <c r="D27" s="16">
        <f>IF(Оценки!$C$9="затратный",10-(Оценки!G34+4*Оценки!H34+Оценки!I34)/6,(Оценки!G34+4*Оценки!H34+Оценки!I34)/6)</f>
        <v>8</v>
      </c>
      <c r="E27" s="16">
        <f>IF(Оценки!$C$9="затратный",10-(Оценки!J34+4*Оценки!K34+Оценки!L34)/6,(Оценки!J34+4*Оценки!K34+Оценки!L34)/6)</f>
        <v>7</v>
      </c>
    </row>
    <row r="28" spans="1:5" x14ac:dyDescent="0.3">
      <c r="A28" s="9" t="s">
        <v>17</v>
      </c>
      <c r="B28" s="10" t="s">
        <v>25</v>
      </c>
      <c r="C28" s="16">
        <f>IF(Оценки!$C$9="затратный",10-(Оценки!D35+4*Оценки!E35+Оценки!F35)/6,(Оценки!D35+4*Оценки!E35+Оценки!F35)/6)</f>
        <v>7.5</v>
      </c>
      <c r="D28" s="16">
        <f>IF(Оценки!$C$9="затратный",10-(Оценки!G35+4*Оценки!H35+Оценки!I35)/6,(Оценки!G35+4*Оценки!H35+Оценки!I35)/6)</f>
        <v>6.166666666666667</v>
      </c>
      <c r="E28" s="16">
        <f>IF(Оценки!$C$9="затратный",10-(Оценки!J35+4*Оценки!K35+Оценки!L35)/6,(Оценки!J35+4*Оценки!K35+Оценки!L35)/6)</f>
        <v>6</v>
      </c>
    </row>
    <row r="29" spans="1:5" x14ac:dyDescent="0.3">
      <c r="A29" s="9" t="s">
        <v>17</v>
      </c>
      <c r="B29" s="10" t="s">
        <v>27</v>
      </c>
      <c r="C29" s="16">
        <f>IF(Оценки!$C$9="затратный",10-(Оценки!D36+4*Оценки!E36+Оценки!F36)/6,(Оценки!D36+4*Оценки!E36+Оценки!F36)/6)</f>
        <v>7.833333333333333</v>
      </c>
      <c r="D29" s="16">
        <f>IF(Оценки!$C$9="затратный",10-(Оценки!G36+4*Оценки!H36+Оценки!I36)/6,(Оценки!G36+4*Оценки!H36+Оценки!I36)/6)</f>
        <v>7</v>
      </c>
      <c r="E29" s="16">
        <f>IF(Оценки!$C$9="затратный",10-(Оценки!J36+4*Оценки!K36+Оценки!L36)/6,(Оценки!J36+4*Оценки!K36+Оценки!L36)/6)</f>
        <v>7</v>
      </c>
    </row>
    <row r="32" spans="1:5" ht="15.6" x14ac:dyDescent="0.3">
      <c r="A32" s="1" t="s">
        <v>55</v>
      </c>
    </row>
    <row r="33" spans="1:7" x14ac:dyDescent="0.3">
      <c r="A33" s="3"/>
      <c r="B33" s="3" t="s">
        <v>11</v>
      </c>
      <c r="C33" s="3" t="s">
        <v>12</v>
      </c>
      <c r="D33" s="3" t="s">
        <v>15</v>
      </c>
      <c r="E33" s="3" t="s">
        <v>17</v>
      </c>
      <c r="F33" s="3" t="s">
        <v>56</v>
      </c>
      <c r="G33" s="3" t="s">
        <v>57</v>
      </c>
    </row>
    <row r="34" spans="1:7" x14ac:dyDescent="0.3">
      <c r="A34" s="17" t="s">
        <v>11</v>
      </c>
      <c r="B34" s="13">
        <v>1</v>
      </c>
      <c r="C34" s="13">
        <f>(IF($B$6/$B$7&gt;=1,MIN(ROUND($B$6/$B$7,0),9),1/MIN(ROUND($B$7/$B$6,0),9))*IF($C$6/$C$7&gt;=1,MIN(ROUND($C$6/$C$7,0),9),1/MIN(ROUND($C$7/$C$6,0),9))*IF($D$6/$D$7&gt;=1,MIN(ROUND($D$6/$D$7,0),9),1/MIN(ROUND($D$7/$D$6,0),9)))^(1/3)</f>
        <v>1</v>
      </c>
      <c r="D34" s="13">
        <f>(IF($B$6/$B$8&gt;=1,MIN(ROUND($B$6/$B$8,0),9),1/MIN(ROUND($B$8/$B$6,0),9))*IF($C$6/$C$8&gt;=1,MIN(ROUND($C$6/$C$8,0),9),1/MIN(ROUND($C$8/$C$6,0),9))*IF($D$6/$D$8&gt;=1,MIN(ROUND($D$6/$D$8,0),9),1/MIN(ROUND($D$8/$D$6,0),9)))^(1/3)</f>
        <v>1</v>
      </c>
      <c r="E34" s="13">
        <f>(IF($B$6/$B$9&gt;=1,MIN(ROUND($B$6/$B$9,0),9),1/MIN(ROUND($B$9/$B$6,0),9))*IF($C$6/$C$9&gt;=1,MIN(ROUND($C$6/$C$9,0),9),1/MIN(ROUND($C$9/$C$6,0),9))*IF($D$6/$D$9&gt;=1,MIN(ROUND($D$6/$D$9,0),9),1/MIN(ROUND($D$9/$D$6,0),9)))^(1/3)</f>
        <v>1.2599210498948732</v>
      </c>
      <c r="F34" s="13">
        <f>GEOMEAN(B34:E34)</f>
        <v>1.0594630943592953</v>
      </c>
      <c r="G34" s="15">
        <f>F34/SUM($F$34:$F$37)</f>
        <v>0.26359487079982319</v>
      </c>
    </row>
    <row r="35" spans="1:7" x14ac:dyDescent="0.3">
      <c r="A35" s="17" t="s">
        <v>12</v>
      </c>
      <c r="B35" s="13">
        <f>(IF($B$7/$B$6&gt;=1,MIN(ROUND($B$7/$B$6,0),9),1/MIN(ROUND($B$6/$B$7,0),9))*IF($C$7/$C$6&gt;=1,MIN(ROUND($C$7/$C$6,0),9),1/MIN(ROUND($C$6/$C$7,0),9))*IF($D$7/$D$6&gt;=1,MIN(ROUND($D$7/$D$6,0),9),1/MIN(ROUND($D$6/$D$7,0),9)))^(1/3)</f>
        <v>1</v>
      </c>
      <c r="C35" s="13">
        <v>1</v>
      </c>
      <c r="D35" s="13">
        <f>(IF($B$7/$B$8&gt;=1,MIN(ROUND($B$7/$B$8,0),9),1/MIN(ROUND($B$8/$B$7,0),9))*IF($C$7/$C$8&gt;=1,MIN(ROUND($C$7/$C$8,0),9),1/MIN(ROUND($C$8/$C$7,0),9))*IF($D$7/$D$8&gt;=1,MIN(ROUND($D$7/$D$8,0),9),1/MIN(ROUND($D$8/$D$7,0),9)))^(1/3)</f>
        <v>1</v>
      </c>
      <c r="E35" s="13">
        <f>(IF($B$7/$B$9&gt;=1,MIN(ROUND($B$7/$B$9,0),9),1/MIN(ROUND($B$9/$B$7,0),9))*IF($C$7/$C$9&gt;=1,MIN(ROUND($C$7/$C$9,0),9),1/MIN(ROUND($C$9/$C$7,0),9))*IF($D$7/$D$9&gt;=1,MIN(ROUND($D$7/$D$9,0),9),1/MIN(ROUND($D$9/$D$7,0),9)))^(1/3)</f>
        <v>1.2599210498948732</v>
      </c>
      <c r="F35" s="13">
        <f>GEOMEAN(B35:E35)</f>
        <v>1.0594630943592953</v>
      </c>
      <c r="G35" s="15">
        <f>F35/SUM($F$34:$F$37)</f>
        <v>0.26359487079982319</v>
      </c>
    </row>
    <row r="36" spans="1:7" x14ac:dyDescent="0.3">
      <c r="A36" s="17" t="s">
        <v>15</v>
      </c>
      <c r="B36" s="13">
        <f>(IF($B$8/$B$6&gt;=1,MIN(ROUND($B$8/$B$6,0),9),1/MIN(ROUND($B$6/$B$8,0),9))*IF($C$8/$C$6&gt;=1,MIN(ROUND($C$8/$C$6,0),9),1/MIN(ROUND($C$6/$C$8,0),9))*IF($D$8/$D$6&gt;=1,MIN(ROUND($D$8/$D$6,0),9),1/MIN(ROUND($D$6/$D$8,0),9)))^(1/3)</f>
        <v>1</v>
      </c>
      <c r="C36" s="13">
        <f>(IF($B$8/$B$7&gt;=1,MIN(ROUND($B$8/$B$7,0),9),1/MIN(ROUND($B$7/$B$8,0),9))*IF($C$8/$C$7&gt;=1,MIN(ROUND($C$8/$C$7,0),9),1/MIN(ROUND($C$7/$C$8,0),9))*IF($D$8/$D$7&gt;=1,MIN(ROUND($D$8/$D$7,0),9),1/MIN(ROUND($D$7/$D$8,0),9)))^(1/3)</f>
        <v>1</v>
      </c>
      <c r="D36" s="13">
        <v>1</v>
      </c>
      <c r="E36" s="13">
        <f>(IF($B$8/$B$9&gt;=1,MIN(ROUND($B$8/$B$9,0),9),1/MIN(ROUND($B$9/$B$8,0),9))*IF($C$8/$C$9&gt;=1,MIN(ROUND($C$8/$C$9,0),9),1/MIN(ROUND($C$9/$C$8,0),9))*IF($D$8/$D$9&gt;=1,MIN(ROUND($D$8/$D$9,0),9),1/MIN(ROUND($D$9/$D$8,0),9)))^(1/3)</f>
        <v>1.2599210498948732</v>
      </c>
      <c r="F36" s="13">
        <f>GEOMEAN(B36:E36)</f>
        <v>1.0594630943592953</v>
      </c>
      <c r="G36" s="15">
        <f>F36/SUM($F$34:$F$37)</f>
        <v>0.26359487079982319</v>
      </c>
    </row>
    <row r="37" spans="1:7" x14ac:dyDescent="0.3">
      <c r="A37" s="17" t="s">
        <v>17</v>
      </c>
      <c r="B37" s="13">
        <f>(IF($B$9/$B$6&gt;=1,MIN(ROUND($B$9/$B$6,0),9),1/MIN(ROUND($B$6/$B$9,0),9))*IF($C$9/$C$6&gt;=1,MIN(ROUND($C$9/$C$6,0),9),1/MIN(ROUND($C$6/$C$9,0),9))*IF($D$9/$D$6&gt;=1,MIN(ROUND($D$9/$D$6,0),9),1/MIN(ROUND($D$6/$D$9,0),9)))^(1/3)</f>
        <v>0.79370052598409979</v>
      </c>
      <c r="C37" s="13">
        <f>(IF($B$9/$B$7&gt;=1,MIN(ROUND($B$9/$B$7,0),9),1/MIN(ROUND($B$7/$B$9,0),9))*IF($C$9/$C$7&gt;=1,MIN(ROUND($C$9/$C$7,0),9),1/MIN(ROUND($C$7/$C$9,0),9))*IF($D$9/$D$7&gt;=1,MIN(ROUND($D$9/$D$7,0),9),1/MIN(ROUND($D$7/$D$9,0),9)))^(1/3)</f>
        <v>0.79370052598409979</v>
      </c>
      <c r="D37" s="13">
        <f>(IF($B$9/$B$8&gt;=1,MIN(ROUND($B$9/$B$8,0),9),1/MIN(ROUND($B$8/$B$9,0),9))*IF($C$9/$C$8&gt;=1,MIN(ROUND($C$9/$C$8,0),9),1/MIN(ROUND($C$8/$C$9,0),9))*IF($D$9/$D$8&gt;=1,MIN(ROUND($D$9/$D$8,0),9),1/MIN(ROUND($D$8/$D$9,0),9)))^(1/3)</f>
        <v>0.79370052598409979</v>
      </c>
      <c r="E37" s="13">
        <v>1</v>
      </c>
      <c r="F37" s="13">
        <f>GEOMEAN(B37:E37)</f>
        <v>0.84089641525371461</v>
      </c>
      <c r="G37" s="15">
        <f>F37/SUM($F$34:$F$37)</f>
        <v>0.20921538760053049</v>
      </c>
    </row>
    <row r="38" spans="1:7" x14ac:dyDescent="0.3">
      <c r="A38" s="9" t="s">
        <v>58</v>
      </c>
      <c r="B38" s="13">
        <f>SUM(B34:B37)</f>
        <v>3.7937005259840997</v>
      </c>
      <c r="C38" s="13">
        <f>SUM(C34:C37)</f>
        <v>3.7937005259840997</v>
      </c>
      <c r="D38" s="13">
        <f>SUM(D34:D37)</f>
        <v>3.7937005259840997</v>
      </c>
      <c r="E38" s="13">
        <f>SUM(E34:E37)</f>
        <v>4.7797631496846193</v>
      </c>
    </row>
    <row r="39" spans="1:7" x14ac:dyDescent="0.3">
      <c r="A39" s="9" t="s">
        <v>59</v>
      </c>
      <c r="B39" s="13">
        <f>G34</f>
        <v>0.26359487079982319</v>
      </c>
      <c r="C39" s="13">
        <f>G35</f>
        <v>0.26359487079982319</v>
      </c>
      <c r="D39" s="13">
        <f>G36</f>
        <v>0.26359487079982319</v>
      </c>
      <c r="E39" s="13">
        <f>G37</f>
        <v>0.20921538760053049</v>
      </c>
    </row>
    <row r="40" spans="1:7" x14ac:dyDescent="0.3">
      <c r="A40" s="9" t="s">
        <v>60</v>
      </c>
      <c r="B40" s="18">
        <f>SUMPRODUCT(B38:E38,B39:E39)</f>
        <v>4</v>
      </c>
      <c r="C40" s="9" t="s">
        <v>61</v>
      </c>
      <c r="D40" s="18">
        <f>(B40-4)/3</f>
        <v>0</v>
      </c>
      <c r="E40" s="9" t="s">
        <v>62</v>
      </c>
      <c r="F40" s="18">
        <f>D40/0.9</f>
        <v>0</v>
      </c>
      <c r="G40" s="19" t="str">
        <f>IF(F40&lt;0.1,"согласована","требует пересмотра")</f>
        <v>согласована</v>
      </c>
    </row>
    <row r="42" spans="1:7" ht="15.6" x14ac:dyDescent="0.3">
      <c r="A42" s="1" t="s">
        <v>63</v>
      </c>
    </row>
    <row r="43" spans="1:7" x14ac:dyDescent="0.3">
      <c r="A43" s="3"/>
      <c r="B43" s="3" t="s">
        <v>21</v>
      </c>
      <c r="C43" s="3" t="s">
        <v>23</v>
      </c>
      <c r="D43" s="3" t="s">
        <v>25</v>
      </c>
      <c r="E43" s="3" t="s">
        <v>27</v>
      </c>
      <c r="F43" s="3" t="s">
        <v>56</v>
      </c>
      <c r="G43" s="3" t="s">
        <v>57</v>
      </c>
    </row>
    <row r="44" spans="1:7" x14ac:dyDescent="0.3">
      <c r="A44" s="17" t="s">
        <v>21</v>
      </c>
      <c r="B44" s="13">
        <v>1</v>
      </c>
      <c r="C44" s="13">
        <f>(IF($C$14/$C$15&gt;=1,MIN(ROUND($C$14/$C$15,0),9),1/MIN(ROUND($C$15/$C$14,0),9))*IF($D$14/$D$15&gt;=1,MIN(ROUND($D$14/$D$15,0),9),1/MIN(ROUND($D$15/$D$14,0),9))*IF($E$14/$E$15&gt;=1,MIN(ROUND($E$14/$E$15,0),9),1/MIN(ROUND($E$15/$E$14,0),9)))^(1/3)</f>
        <v>1</v>
      </c>
      <c r="D44" s="13">
        <f>(IF($C$14/$C$16&gt;=1,MIN(ROUND($C$14/$C$16,0),9),1/MIN(ROUND($C$16/$C$14,0),9))*IF($D$14/$D$16&gt;=1,MIN(ROUND($D$14/$D$16,0),9),1/MIN(ROUND($D$16/$D$14,0),9))*IF($E$14/$E$16&gt;=1,MIN(ROUND($E$14/$E$16,0),9),1/MIN(ROUND($E$16/$E$14,0),9)))^(1/3)</f>
        <v>1.8171205928321397</v>
      </c>
      <c r="E44" s="13">
        <f>(IF($C$14/$C$17&gt;=1,MIN(ROUND($C$14/$C$17,0),9),1/MIN(ROUND($C$17/$C$14,0),9))*IF($D$14/$D$17&gt;=1,MIN(ROUND($D$14/$D$17,0),9),1/MIN(ROUND($D$17/$D$14,0),9))*IF($E$14/$E$17&gt;=1,MIN(ROUND($E$14/$E$17,0),9),1/MIN(ROUND($E$17/$E$14,0),9)))^(1/3)</f>
        <v>1.8171205928321397</v>
      </c>
      <c r="F44" s="13">
        <f>GEOMEAN(B44:E44)</f>
        <v>1.3480061545972777</v>
      </c>
      <c r="G44" s="15">
        <f>F44/SUM($F$44:$F$47)</f>
        <v>0.32044664225484715</v>
      </c>
    </row>
    <row r="45" spans="1:7" x14ac:dyDescent="0.3">
      <c r="A45" s="17" t="s">
        <v>23</v>
      </c>
      <c r="B45" s="13">
        <f>(IF($C$15/$C$14&gt;=1,MIN(ROUND($C$15/$C$14,0),9),1/MIN(ROUND($C$14/$C$15,0),9))*IF($D$15/$D$14&gt;=1,MIN(ROUND($D$15/$D$14,0),9),1/MIN(ROUND($D$14/$D$15,0),9))*IF($E$15/$E$14&gt;=1,MIN(ROUND($E$15/$E$14,0),9),1/MIN(ROUND($E$14/$E$15,0),9)))^(1/3)</f>
        <v>1</v>
      </c>
      <c r="C45" s="13">
        <v>1</v>
      </c>
      <c r="D45" s="13">
        <f>(IF($C$15/$C$16&gt;=1,MIN(ROUND($C$15/$C$16,0),9),1/MIN(ROUND($C$16/$C$15,0),9))*IF($D$15/$D$16&gt;=1,MIN(ROUND($D$15/$D$16,0),9),1/MIN(ROUND($D$16/$D$15,0),9))*IF($E$15/$E$16&gt;=1,MIN(ROUND($E$15/$E$16,0),9),1/MIN(ROUND($E$16/$E$15,0),9)))^(1/3)</f>
        <v>1.8171205928321397</v>
      </c>
      <c r="E45" s="13">
        <f>(IF($C$15/$C$17&gt;=1,MIN(ROUND($C$15/$C$17,0),9),1/MIN(ROUND($C$17/$C$15,0),9))*IF($D$15/$D$17&gt;=1,MIN(ROUND($D$15/$D$17,0),9),1/MIN(ROUND($D$17/$D$15,0),9))*IF($E$15/$E$17&gt;=1,MIN(ROUND($E$15/$E$17,0),9),1/MIN(ROUND($E$17/$E$15,0),9)))^(1/3)</f>
        <v>1.9999999999999998</v>
      </c>
      <c r="F45" s="13">
        <f>GEOMEAN(B45:E45)</f>
        <v>1.3807130715662372</v>
      </c>
      <c r="G45" s="15">
        <f>F45/SUM($F$44:$F$47)</f>
        <v>0.32822169705371956</v>
      </c>
    </row>
    <row r="46" spans="1:7" x14ac:dyDescent="0.3">
      <c r="A46" s="17" t="s">
        <v>25</v>
      </c>
      <c r="B46" s="13">
        <f>(IF($C$16/$C$14&gt;=1,MIN(ROUND($C$16/$C$14,0),9),1/MIN(ROUND($C$14/$C$16,0),9))*IF($D$16/$D$14&gt;=1,MIN(ROUND($D$16/$D$14,0),9),1/MIN(ROUND($D$14/$D$16,0),9))*IF($E$16/$E$14&gt;=1,MIN(ROUND($E$16/$E$14,0),9),1/MIN(ROUND($E$14/$E$16,0),9)))^(1/3)</f>
        <v>0.55032120814910446</v>
      </c>
      <c r="C46" s="13">
        <f>(IF($C$16/$C$15&gt;=1,MIN(ROUND($C$16/$C$15,0),9),1/MIN(ROUND($C$15/$C$16,0),9))*IF($D$16/$D$15&gt;=1,MIN(ROUND($D$16/$D$15,0),9),1/MIN(ROUND($D$15/$D$16,0),9))*IF($E$16/$E$15&gt;=1,MIN(ROUND($E$16/$E$15,0),9),1/MIN(ROUND($E$15/$E$16,0),9)))^(1/3)</f>
        <v>0.55032120814910446</v>
      </c>
      <c r="D46" s="13">
        <v>1</v>
      </c>
      <c r="E46" s="13">
        <f>(IF($C$16/$C$17&gt;=1,MIN(ROUND($C$16/$C$17,0),9),1/MIN(ROUND($C$17/$C$16,0),9))*IF($D$16/$D$17&gt;=1,MIN(ROUND($D$16/$D$17,0),9),1/MIN(ROUND($D$17/$D$16,0),9))*IF($E$16/$E$17&gt;=1,MIN(ROUND($E$16/$E$17,0),9),1/MIN(ROUND($E$17/$E$16,0),9)))^(1/3)</f>
        <v>1.5874010519681994</v>
      </c>
      <c r="F46" s="13">
        <f>GEOMEAN(B46:E46)</f>
        <v>0.83268317765560429</v>
      </c>
      <c r="G46" s="15">
        <f>F46/SUM($F$44:$F$47)</f>
        <v>0.19794459204197881</v>
      </c>
    </row>
    <row r="47" spans="1:7" x14ac:dyDescent="0.3">
      <c r="A47" s="17" t="s">
        <v>27</v>
      </c>
      <c r="B47" s="13">
        <f>(IF($C$17/$C$14&gt;=1,MIN(ROUND($C$17/$C$14,0),9),1/MIN(ROUND($C$14/$C$17,0),9))*IF($D$17/$D$14&gt;=1,MIN(ROUND($D$17/$D$14,0),9),1/MIN(ROUND($D$14/$D$17,0),9))*IF($E$17/$E$14&gt;=1,MIN(ROUND($E$17/$E$14,0),9),1/MIN(ROUND($E$14/$E$17,0),9)))^(1/3)</f>
        <v>0.55032120814910446</v>
      </c>
      <c r="C47" s="13">
        <f>(IF($C$17/$C$15&gt;=1,MIN(ROUND($C$17/$C$15,0),9),1/MIN(ROUND($C$15/$C$17,0),9))*IF($D$17/$D$15&gt;=1,MIN(ROUND($D$17/$D$15,0),9),1/MIN(ROUND($D$15/$D$17,0),9))*IF($E$17/$E$15&gt;=1,MIN(ROUND($E$17/$E$15,0),9),1/MIN(ROUND($E$15/$E$17,0),9)))^(1/3)</f>
        <v>0.50000000000000011</v>
      </c>
      <c r="D47" s="13">
        <f>(IF($C$17/$C$16&gt;=1,MIN(ROUND($C$17/$C$16,0),9),1/MIN(ROUND($C$16/$C$17,0),9))*IF($D$17/$D$16&gt;=1,MIN(ROUND($D$17/$D$16,0),9),1/MIN(ROUND($D$16/$D$17,0),9))*IF($E$17/$E$16&gt;=1,MIN(ROUND($E$17/$E$16,0),9),1/MIN(ROUND($E$16/$E$17,0),9)))^(1/3)</f>
        <v>0.6299605249474366</v>
      </c>
      <c r="E47" s="13">
        <v>1</v>
      </c>
      <c r="F47" s="13">
        <f>GEOMEAN(B47:E47)</f>
        <v>0.64524537102392465</v>
      </c>
      <c r="G47" s="15">
        <f>F47/SUM($F$44:$F$47)</f>
        <v>0.15338706864945442</v>
      </c>
    </row>
    <row r="48" spans="1:7" x14ac:dyDescent="0.3">
      <c r="A48" s="9" t="s">
        <v>58</v>
      </c>
      <c r="B48" s="13">
        <f>SUM(B44:B47)</f>
        <v>3.1006424162982089</v>
      </c>
      <c r="C48" s="13">
        <f>SUM(C44:C47)</f>
        <v>3.0503212081491045</v>
      </c>
      <c r="D48" s="13">
        <f>SUM(D44:D47)</f>
        <v>5.264201710611716</v>
      </c>
      <c r="E48" s="13">
        <f>SUM(E44:E47)</f>
        <v>6.4045216448003384</v>
      </c>
    </row>
    <row r="49" spans="1:7" x14ac:dyDescent="0.3">
      <c r="A49" s="9" t="s">
        <v>59</v>
      </c>
      <c r="B49" s="13">
        <f>G44</f>
        <v>0.32044664225484715</v>
      </c>
      <c r="C49" s="13">
        <f>G45</f>
        <v>0.32822169705371956</v>
      </c>
      <c r="D49" s="13">
        <f>G46</f>
        <v>0.19794459204197881</v>
      </c>
      <c r="E49" s="13">
        <f>G47</f>
        <v>0.15338706864945442</v>
      </c>
    </row>
    <row r="50" spans="1:7" x14ac:dyDescent="0.3">
      <c r="A50" s="9" t="s">
        <v>60</v>
      </c>
      <c r="B50" s="18">
        <f>SUMPRODUCT(B48:E48,B49:E49)</f>
        <v>4.0191631158649983</v>
      </c>
      <c r="C50" s="9" t="s">
        <v>61</v>
      </c>
      <c r="D50" s="18">
        <f>(B50-4)/3</f>
        <v>6.3877052883327679E-3</v>
      </c>
      <c r="E50" s="9" t="s">
        <v>62</v>
      </c>
      <c r="F50" s="18">
        <f>D50/0.9</f>
        <v>7.097450320369742E-3</v>
      </c>
      <c r="G50" s="19" t="str">
        <f>IF(F50&lt;0.1,"согласована","требует пересмотра")</f>
        <v>согласована</v>
      </c>
    </row>
    <row r="52" spans="1:7" ht="15.6" x14ac:dyDescent="0.3">
      <c r="A52" s="1" t="s">
        <v>64</v>
      </c>
    </row>
    <row r="53" spans="1:7" x14ac:dyDescent="0.3">
      <c r="A53" s="3"/>
      <c r="B53" s="3" t="s">
        <v>21</v>
      </c>
      <c r="C53" s="3" t="s">
        <v>23</v>
      </c>
      <c r="D53" s="3" t="s">
        <v>25</v>
      </c>
      <c r="E53" s="3" t="s">
        <v>27</v>
      </c>
      <c r="F53" s="3" t="s">
        <v>56</v>
      </c>
      <c r="G53" s="3" t="s">
        <v>57</v>
      </c>
    </row>
    <row r="54" spans="1:7" x14ac:dyDescent="0.3">
      <c r="A54" s="17" t="s">
        <v>21</v>
      </c>
      <c r="B54" s="13">
        <v>1</v>
      </c>
      <c r="C54" s="13">
        <f>(IF($C$18/$C$19&gt;=1,MIN(ROUND($C$18/$C$19,0),9),1/MIN(ROUND($C$19/$C$18,0),9))*IF($D$18/$D$19&gt;=1,MIN(ROUND($D$18/$D$19,0),9),1/MIN(ROUND($D$19/$D$18,0),9))*IF($E$18/$E$19&gt;=1,MIN(ROUND($E$18/$E$19,0),9),1/MIN(ROUND($E$19/$E$18,0),9)))^(1/3)</f>
        <v>1.5874010519681994</v>
      </c>
      <c r="D54" s="13">
        <f>(IF($C$18/$C$20&gt;=1,MIN(ROUND($C$18/$C$20,0),9),1/MIN(ROUND($C$20/$C$18,0),9))*IF($D$18/$D$20&gt;=1,MIN(ROUND($D$18/$D$20,0),9),1/MIN(ROUND($D$20/$D$18,0),9))*IF($E$18/$E$20&gt;=1,MIN(ROUND($E$18/$E$20,0),9),1/MIN(ROUND($E$20/$E$18,0),9)))^(1/3)</f>
        <v>1.2599210498948732</v>
      </c>
      <c r="E54" s="13">
        <f>(IF($C$18/$C$21&gt;=1,MIN(ROUND($C$18/$C$21,0),9),1/MIN(ROUND($C$21/$C$18,0),9))*IF($D$18/$D$21&gt;=1,MIN(ROUND($D$18/$D$21,0),9),1/MIN(ROUND($D$21/$D$18,0),9))*IF($E$18/$E$21&gt;=1,MIN(ROUND($E$18/$E$21,0),9),1/MIN(ROUND($E$21/$E$18,0),9)))^(1/3)</f>
        <v>1.5874010519681994</v>
      </c>
      <c r="F54" s="13">
        <f>GEOMEAN(B54:E54)</f>
        <v>1.3348398541700344</v>
      </c>
      <c r="G54" s="15">
        <f>F54/SUM($F$54:$F$57)</f>
        <v>0.32777601370466475</v>
      </c>
    </row>
    <row r="55" spans="1:7" x14ac:dyDescent="0.3">
      <c r="A55" s="17" t="s">
        <v>23</v>
      </c>
      <c r="B55" s="13">
        <f>(IF($C$19/$C$18&gt;=1,MIN(ROUND($C$19/$C$18,0),9),1/MIN(ROUND($C$18/$C$19,0),9))*IF($D$19/$D$18&gt;=1,MIN(ROUND($D$19/$D$18,0),9),1/MIN(ROUND($D$18/$D$19,0),9))*IF($E$19/$E$18&gt;=1,MIN(ROUND($E$19/$E$18,0),9),1/MIN(ROUND($E$18/$E$19,0),9)))^(1/3)</f>
        <v>0.6299605249474366</v>
      </c>
      <c r="C55" s="13">
        <v>1</v>
      </c>
      <c r="D55" s="13">
        <f>(IF($C$19/$C$20&gt;=1,MIN(ROUND($C$19/$C$20,0),9),1/MIN(ROUND($C$20/$C$19,0),9))*IF($D$19/$D$20&gt;=1,MIN(ROUND($D$19/$D$20,0),9),1/MIN(ROUND($D$20/$D$19,0),9))*IF($E$19/$E$20&gt;=1,MIN(ROUND($E$19/$E$20,0),9),1/MIN(ROUND($E$20/$E$19,0),9)))^(1/3)</f>
        <v>0.79370052598409979</v>
      </c>
      <c r="E55" s="13">
        <f>(IF($C$19/$C$21&gt;=1,MIN(ROUND($C$19/$C$21,0),9),1/MIN(ROUND($C$21/$C$19,0),9))*IF($D$19/$D$21&gt;=1,MIN(ROUND($D$19/$D$21,0),9),1/MIN(ROUND($D$21/$D$19,0),9))*IF($E$19/$E$21&gt;=1,MIN(ROUND($E$19/$E$21,0),9),1/MIN(ROUND($E$21/$E$19,0),9)))^(1/3)</f>
        <v>0.79370052598409979</v>
      </c>
      <c r="F55" s="13">
        <f>GEOMEAN(B55:E55)</f>
        <v>0.79370052598409979</v>
      </c>
      <c r="G55" s="15">
        <f>F55/SUM($F$54:$F$57)</f>
        <v>0.19489678381240835</v>
      </c>
    </row>
    <row r="56" spans="1:7" x14ac:dyDescent="0.3">
      <c r="A56" s="17" t="s">
        <v>25</v>
      </c>
      <c r="B56" s="13">
        <f>(IF($C$20/$C$18&gt;=1,MIN(ROUND($C$20/$C$18,0),9),1/MIN(ROUND($C$18/$C$20,0),9))*IF($D$20/$D$18&gt;=1,MIN(ROUND($D$20/$D$18,0),9),1/MIN(ROUND($D$18/$D$20,0),9))*IF($E$20/$E$18&gt;=1,MIN(ROUND($E$20/$E$18,0),9),1/MIN(ROUND($E$18/$E$20,0),9)))^(1/3)</f>
        <v>0.79370052598409979</v>
      </c>
      <c r="C56" s="13">
        <f>(IF($C$20/$C$19&gt;=1,MIN(ROUND($C$20/$C$19,0),9),1/MIN(ROUND($C$19/$C$20,0),9))*IF($D$20/$D$19&gt;=1,MIN(ROUND($D$20/$D$19,0),9),1/MIN(ROUND($D$19/$D$20,0),9))*IF($E$20/$E$19&gt;=1,MIN(ROUND($E$20/$E$19,0),9),1/MIN(ROUND($E$19/$E$20,0),9)))^(1/3)</f>
        <v>1.2599210498948732</v>
      </c>
      <c r="D56" s="13">
        <v>1</v>
      </c>
      <c r="E56" s="13">
        <f>(IF($C$20/$C$21&gt;=1,MIN(ROUND($C$20/$C$21,0),9),1/MIN(ROUND($C$21/$C$20,0),9))*IF($D$20/$D$21&gt;=1,MIN(ROUND($D$20/$D$21,0),9),1/MIN(ROUND($D$21/$D$20,0),9))*IF($E$20/$E$21&gt;=1,MIN(ROUND($E$20/$E$21,0),9),1/MIN(ROUND($E$21/$E$20,0),9)))^(1/3)</f>
        <v>1</v>
      </c>
      <c r="F56" s="13">
        <f>GEOMEAN(B56:E56)</f>
        <v>1</v>
      </c>
      <c r="G56" s="15">
        <f>F56/SUM($F$54:$F$57)</f>
        <v>0.24555456048206364</v>
      </c>
    </row>
    <row r="57" spans="1:7" x14ac:dyDescent="0.3">
      <c r="A57" s="17" t="s">
        <v>27</v>
      </c>
      <c r="B57" s="13">
        <f>(IF($C$21/$C$18&gt;=1,MIN(ROUND($C$21/$C$18,0),9),1/MIN(ROUND($C$18/$C$21,0),9))*IF($D$21/$D$18&gt;=1,MIN(ROUND($D$21/$D$18,0),9),1/MIN(ROUND($D$18/$D$21,0),9))*IF($E$21/$E$18&gt;=1,MIN(ROUND($E$21/$E$18,0),9),1/MIN(ROUND($E$18/$E$21,0),9)))^(1/3)</f>
        <v>0.6299605249474366</v>
      </c>
      <c r="C57" s="13">
        <f>(IF($C$21/$C$19&gt;=1,MIN(ROUND($C$21/$C$19,0),9),1/MIN(ROUND($C$19/$C$21,0),9))*IF($D$21/$D$19&gt;=1,MIN(ROUND($D$21/$D$19,0),9),1/MIN(ROUND($D$19/$D$21,0),9))*IF($E$21/$E$19&gt;=1,MIN(ROUND($E$21/$E$19,0),9),1/MIN(ROUND($E$19/$E$21,0),9)))^(1/3)</f>
        <v>1.2599210498948732</v>
      </c>
      <c r="D57" s="13">
        <f>(IF($C$21/$C$20&gt;=1,MIN(ROUND($C$21/$C$20,0),9),1/MIN(ROUND($C$20/$C$21,0),9))*IF($D$21/$D$20&gt;=1,MIN(ROUND($D$21/$D$20,0),9),1/MIN(ROUND($D$20/$D$21,0),9))*IF($E$21/$E$20&gt;=1,MIN(ROUND($E$21/$E$20,0),9),1/MIN(ROUND($E$20/$E$21,0),9)))^(1/3)</f>
        <v>1</v>
      </c>
      <c r="E57" s="13">
        <v>1</v>
      </c>
      <c r="F57" s="13">
        <f>GEOMEAN(B57:E57)</f>
        <v>0.94387431268169353</v>
      </c>
      <c r="G57" s="15">
        <f>F57/SUM($F$54:$F$57)</f>
        <v>0.23177264200086317</v>
      </c>
    </row>
    <row r="58" spans="1:7" x14ac:dyDescent="0.3">
      <c r="A58" s="9" t="s">
        <v>58</v>
      </c>
      <c r="B58" s="13">
        <f>SUM(B54:B57)</f>
        <v>3.0536215758789731</v>
      </c>
      <c r="C58" s="13">
        <f>SUM(C54:C57)</f>
        <v>5.1072431517579462</v>
      </c>
      <c r="D58" s="13">
        <f>SUM(D54:D57)</f>
        <v>4.0536215758789726</v>
      </c>
      <c r="E58" s="13">
        <f>SUM(E54:E57)</f>
        <v>4.3811015779522986</v>
      </c>
    </row>
    <row r="59" spans="1:7" x14ac:dyDescent="0.3">
      <c r="A59" s="9" t="s">
        <v>59</v>
      </c>
      <c r="B59" s="13">
        <f>G54</f>
        <v>0.32777601370466475</v>
      </c>
      <c r="C59" s="13">
        <f>G55</f>
        <v>0.19489678381240835</v>
      </c>
      <c r="D59" s="13">
        <f>G56</f>
        <v>0.24555456048206364</v>
      </c>
      <c r="E59" s="13">
        <f>G57</f>
        <v>0.23177264200086317</v>
      </c>
    </row>
    <row r="60" spans="1:7" x14ac:dyDescent="0.3">
      <c r="A60" s="9" t="s">
        <v>60</v>
      </c>
      <c r="B60" s="18">
        <f>SUMPRODUCT(B58:E58,B59:E59)</f>
        <v>4.007093923951464</v>
      </c>
      <c r="C60" s="9" t="s">
        <v>61</v>
      </c>
      <c r="D60" s="18">
        <f>(B60-4)/3</f>
        <v>2.3646413171546734E-3</v>
      </c>
      <c r="E60" s="9" t="s">
        <v>62</v>
      </c>
      <c r="F60" s="18">
        <f>D60/0.9</f>
        <v>2.6273792412829706E-3</v>
      </c>
      <c r="G60" s="19" t="str">
        <f>IF(F60&lt;0.1,"согласована","требует пересмотра")</f>
        <v>согласована</v>
      </c>
    </row>
    <row r="62" spans="1:7" ht="15.6" x14ac:dyDescent="0.3">
      <c r="A62" s="1" t="s">
        <v>65</v>
      </c>
    </row>
    <row r="63" spans="1:7" x14ac:dyDescent="0.3">
      <c r="A63" s="3"/>
      <c r="B63" s="3" t="s">
        <v>21</v>
      </c>
      <c r="C63" s="3" t="s">
        <v>23</v>
      </c>
      <c r="D63" s="3" t="s">
        <v>25</v>
      </c>
      <c r="E63" s="3" t="s">
        <v>27</v>
      </c>
      <c r="F63" s="3" t="s">
        <v>56</v>
      </c>
      <c r="G63" s="3" t="s">
        <v>57</v>
      </c>
    </row>
    <row r="64" spans="1:7" x14ac:dyDescent="0.3">
      <c r="A64" s="17" t="s">
        <v>21</v>
      </c>
      <c r="B64" s="13">
        <v>1</v>
      </c>
      <c r="C64" s="13">
        <f>(IF($C$22/$C$23&gt;=1,MIN(ROUND($C$22/$C$23,0),9),1/MIN(ROUND($C$23/$C$22,0),9))*IF($D$22/$D$23&gt;=1,MIN(ROUND($D$22/$D$23,0),9),1/MIN(ROUND($D$23/$D$22,0),9))*IF($E$22/$E$23&gt;=1,MIN(ROUND($E$22/$E$23,0),9),1/MIN(ROUND($E$23/$E$22,0),9)))^(1/3)</f>
        <v>1.2599210498948732</v>
      </c>
      <c r="D64" s="13">
        <f>(IF($C$22/$C$24&gt;=1,MIN(ROUND($C$22/$C$24,0),9),1/MIN(ROUND($C$24/$C$22,0),9))*IF($D$22/$D$24&gt;=1,MIN(ROUND($D$22/$D$24,0),9),1/MIN(ROUND($D$24/$D$22,0),9))*IF($E$22/$E$24&gt;=1,MIN(ROUND($E$22/$E$24,0),9),1/MIN(ROUND($E$24/$E$22,0),9)))^(1/3)</f>
        <v>1</v>
      </c>
      <c r="E64" s="13">
        <f>(IF($C$22/$C$25&gt;=1,MIN(ROUND($C$22/$C$25,0),9),1/MIN(ROUND($C$25/$C$22,0),9))*IF($D$22/$D$25&gt;=1,MIN(ROUND($D$22/$D$25,0),9),1/MIN(ROUND($D$25/$D$22,0),9))*IF($E$22/$E$25&gt;=1,MIN(ROUND($E$22/$E$25,0),9),1/MIN(ROUND($E$25/$E$22,0),9)))^(1/3)</f>
        <v>0.79370052598409979</v>
      </c>
      <c r="F64" s="13">
        <f>GEOMEAN(B64:E64)</f>
        <v>1</v>
      </c>
      <c r="G64" s="15">
        <f>F64/SUM($F$64:$F$67)</f>
        <v>0.2485817443308268</v>
      </c>
    </row>
    <row r="65" spans="1:7" x14ac:dyDescent="0.3">
      <c r="A65" s="17" t="s">
        <v>23</v>
      </c>
      <c r="B65" s="13">
        <f>(IF($C$23/$C$22&gt;=1,MIN(ROUND($C$23/$C$22,0),9),1/MIN(ROUND($C$22/$C$23,0),9))*IF($D$23/$D$22&gt;=1,MIN(ROUND($D$23/$D$22,0),9),1/MIN(ROUND($D$22/$D$23,0),9))*IF($E$23/$E$22&gt;=1,MIN(ROUND($E$23/$E$22,0),9),1/MIN(ROUND($E$22/$E$23,0),9)))^(1/3)</f>
        <v>0.79370052598409979</v>
      </c>
      <c r="C65" s="13">
        <v>1</v>
      </c>
      <c r="D65" s="13">
        <f>(IF($C$23/$C$24&gt;=1,MIN(ROUND($C$23/$C$24,0),9),1/MIN(ROUND($C$24/$C$23,0),9))*IF($D$23/$D$24&gt;=1,MIN(ROUND($D$23/$D$24,0),9),1/MIN(ROUND($D$24/$D$23,0),9))*IF($E$23/$E$24&gt;=1,MIN(ROUND($E$23/$E$24,0),9),1/MIN(ROUND($E$24/$E$23,0),9)))^(1/3)</f>
        <v>0.79370052598409979</v>
      </c>
      <c r="E65" s="13">
        <f>(IF($C$23/$C$25&gt;=1,MIN(ROUND($C$23/$C$25,0),9),1/MIN(ROUND($C$25/$C$23,0),9))*IF($D$23/$D$25&gt;=1,MIN(ROUND($D$23/$D$25,0),9),1/MIN(ROUND($D$25/$D$23,0),9))*IF($E$23/$E$25&gt;=1,MIN(ROUND($E$23/$E$25,0),9),1/MIN(ROUND($E$25/$E$23,0),9)))^(1/3)</f>
        <v>0.79370052598409979</v>
      </c>
      <c r="F65" s="13">
        <f>GEOMEAN(B65:E65)</f>
        <v>0.84089641525371461</v>
      </c>
      <c r="G65" s="15">
        <f>F65/SUM($F$64:$F$67)</f>
        <v>0.20903149770530766</v>
      </c>
    </row>
    <row r="66" spans="1:7" x14ac:dyDescent="0.3">
      <c r="A66" s="17" t="s">
        <v>25</v>
      </c>
      <c r="B66" s="13">
        <f>(IF($C$24/$C$22&gt;=1,MIN(ROUND($C$24/$C$22,0),9),1/MIN(ROUND($C$22/$C$24,0),9))*IF($D$24/$D$22&gt;=1,MIN(ROUND($D$24/$D$22,0),9),1/MIN(ROUND($D$22/$D$24,0),9))*IF($E$24/$E$22&gt;=1,MIN(ROUND($E$24/$E$22,0),9),1/MIN(ROUND($E$22/$E$24,0),9)))^(1/3)</f>
        <v>1</v>
      </c>
      <c r="C66" s="13">
        <f>(IF($C$24/$C$23&gt;=1,MIN(ROUND($C$24/$C$23,0),9),1/MIN(ROUND($C$23/$C$24,0),9))*IF($D$24/$D$23&gt;=1,MIN(ROUND($D$24/$D$23,0),9),1/MIN(ROUND($D$23/$D$24,0),9))*IF($E$24/$E$23&gt;=1,MIN(ROUND($E$24/$E$23,0),9),1/MIN(ROUND($E$23/$E$24,0),9)))^(1/3)</f>
        <v>1.2599210498948732</v>
      </c>
      <c r="D66" s="13">
        <v>1</v>
      </c>
      <c r="E66" s="13">
        <f>(IF($C$24/$C$25&gt;=1,MIN(ROUND($C$24/$C$25,0),9),1/MIN(ROUND($C$25/$C$24,0),9))*IF($D$24/$D$25&gt;=1,MIN(ROUND($D$24/$D$25,0),9),1/MIN(ROUND($D$25/$D$24,0),9))*IF($E$24/$E$25&gt;=1,MIN(ROUND($E$24/$E$25,0),9),1/MIN(ROUND($E$25/$E$24,0),9)))^(1/3)</f>
        <v>1</v>
      </c>
      <c r="F66" s="13">
        <f>GEOMEAN(B66:E66)</f>
        <v>1.0594630943592953</v>
      </c>
      <c r="G66" s="15">
        <f>F66/SUM($F$64:$F$67)</f>
        <v>0.26336318404996895</v>
      </c>
    </row>
    <row r="67" spans="1:7" x14ac:dyDescent="0.3">
      <c r="A67" s="17" t="s">
        <v>27</v>
      </c>
      <c r="B67" s="13">
        <f>(IF($C$25/$C$22&gt;=1,MIN(ROUND($C$25/$C$22,0),9),1/MIN(ROUND($C$22/$C$25,0),9))*IF($D$25/$D$22&gt;=1,MIN(ROUND($D$25/$D$22,0),9),1/MIN(ROUND($D$22/$D$25,0),9))*IF($E$25/$E$22&gt;=1,MIN(ROUND($E$25/$E$22,0),9),1/MIN(ROUND($E$22/$E$25,0),9)))^(1/3)</f>
        <v>1.2599210498948732</v>
      </c>
      <c r="C67" s="13">
        <f>(IF($C$25/$C$23&gt;=1,MIN(ROUND($C$25/$C$23,0),9),1/MIN(ROUND($C$23/$C$25,0),9))*IF($D$25/$D$23&gt;=1,MIN(ROUND($D$25/$D$23,0),9),1/MIN(ROUND($D$23/$D$25,0),9))*IF($E$25/$E$23&gt;=1,MIN(ROUND($E$25/$E$23,0),9),1/MIN(ROUND($E$23/$E$25,0),9)))^(1/3)</f>
        <v>1.2599210498948732</v>
      </c>
      <c r="D67" s="13">
        <f>(IF($C$25/$C$24&gt;=1,MIN(ROUND($C$25/$C$24,0),9),1/MIN(ROUND($C$24/$C$25,0),9))*IF($D$25/$D$24&gt;=1,MIN(ROUND($D$25/$D$24,0),9),1/MIN(ROUND($D$24/$D$25,0),9))*IF($E$25/$E$24&gt;=1,MIN(ROUND($E$25/$E$24,0),9),1/MIN(ROUND($E$24/$E$25,0),9)))^(1/3)</f>
        <v>1</v>
      </c>
      <c r="E67" s="13">
        <v>1</v>
      </c>
      <c r="F67" s="13">
        <f>GEOMEAN(B67:E67)</f>
        <v>1.122462048309373</v>
      </c>
      <c r="G67" s="15">
        <f>F67/SUM($F$64:$F$67)</f>
        <v>0.27902357391389671</v>
      </c>
    </row>
    <row r="68" spans="1:7" x14ac:dyDescent="0.3">
      <c r="A68" s="9" t="s">
        <v>58</v>
      </c>
      <c r="B68" s="13">
        <f>SUM(B64:B67)</f>
        <v>4.0536215758789726</v>
      </c>
      <c r="C68" s="13">
        <f>SUM(C64:C67)</f>
        <v>4.7797631496846202</v>
      </c>
      <c r="D68" s="13">
        <f>SUM(D64:D67)</f>
        <v>3.7937005259840997</v>
      </c>
      <c r="E68" s="13">
        <f>SUM(E64:E67)</f>
        <v>3.5874010519681994</v>
      </c>
    </row>
    <row r="69" spans="1:7" x14ac:dyDescent="0.3">
      <c r="A69" s="9" t="s">
        <v>59</v>
      </c>
      <c r="B69" s="13">
        <f>G64</f>
        <v>0.2485817443308268</v>
      </c>
      <c r="C69" s="13">
        <f>G65</f>
        <v>0.20903149770530766</v>
      </c>
      <c r="D69" s="13">
        <f>G66</f>
        <v>0.26336318404996895</v>
      </c>
      <c r="E69" s="13">
        <f>G67</f>
        <v>0.27902357391389671</v>
      </c>
    </row>
    <row r="70" spans="1:7" x14ac:dyDescent="0.3">
      <c r="A70" s="9" t="s">
        <v>60</v>
      </c>
      <c r="B70" s="18">
        <f>SUMPRODUCT(B68:E68,B69:E69)</f>
        <v>4.0068678844821388</v>
      </c>
      <c r="C70" s="9" t="s">
        <v>61</v>
      </c>
      <c r="D70" s="18">
        <f>(B70-4)/3</f>
        <v>2.2892948273796065E-3</v>
      </c>
      <c r="E70" s="9" t="s">
        <v>62</v>
      </c>
      <c r="F70" s="18">
        <f>D70/0.9</f>
        <v>2.5436609193106737E-3</v>
      </c>
      <c r="G70" s="19" t="str">
        <f>IF(F70&lt;0.1,"согласована","требует пересмотра")</f>
        <v>согласована</v>
      </c>
    </row>
    <row r="72" spans="1:7" ht="15.6" x14ac:dyDescent="0.3">
      <c r="A72" s="1" t="s">
        <v>66</v>
      </c>
    </row>
    <row r="73" spans="1:7" x14ac:dyDescent="0.3">
      <c r="A73" s="3"/>
      <c r="B73" s="3" t="s">
        <v>21</v>
      </c>
      <c r="C73" s="3" t="s">
        <v>23</v>
      </c>
      <c r="D73" s="3" t="s">
        <v>25</v>
      </c>
      <c r="E73" s="3" t="s">
        <v>27</v>
      </c>
      <c r="F73" s="3" t="s">
        <v>56</v>
      </c>
      <c r="G73" s="3" t="s">
        <v>57</v>
      </c>
    </row>
    <row r="74" spans="1:7" x14ac:dyDescent="0.3">
      <c r="A74" s="17" t="s">
        <v>21</v>
      </c>
      <c r="B74" s="13">
        <v>1</v>
      </c>
      <c r="C74" s="13">
        <f>(IF($C$26/$C$27&gt;=1,MIN(ROUND($C$26/$C$27,0),9),1/MIN(ROUND($C$27/$C$26,0),9))*IF($D$26/$D$27&gt;=1,MIN(ROUND($D$26/$D$27,0),9),1/MIN(ROUND($D$27/$D$26,0),9))*IF($E$26/$E$27&gt;=1,MIN(ROUND($E$26/$E$27,0),9),1/MIN(ROUND($E$27/$E$26,0),9)))^(1/3)</f>
        <v>1</v>
      </c>
      <c r="D74" s="13">
        <f>(IF($C$26/$C$28&gt;=1,MIN(ROUND($C$26/$C$28,0),9),1/MIN(ROUND($C$28/$C$26,0),9))*IF($D$26/$D$28&gt;=1,MIN(ROUND($D$26/$D$28,0),9),1/MIN(ROUND($D$28/$D$26,0),9))*IF($E$26/$E$28&gt;=1,MIN(ROUND($E$26/$E$28,0),9),1/MIN(ROUND($E$28/$E$26,0),9)))^(1/3)</f>
        <v>1</v>
      </c>
      <c r="E74" s="13">
        <f>(IF($C$26/$C$29&gt;=1,MIN(ROUND($C$26/$C$29,0),9),1/MIN(ROUND($C$29/$C$26,0),9))*IF($D$26/$D$29&gt;=1,MIN(ROUND($D$26/$D$29,0),9),1/MIN(ROUND($D$29/$D$26,0),9))*IF($E$26/$E$29&gt;=1,MIN(ROUND($E$26/$E$29,0),9),1/MIN(ROUND($E$29/$E$26,0),9)))^(1/3)</f>
        <v>1</v>
      </c>
      <c r="F74" s="13">
        <f>GEOMEAN(B74:E74)</f>
        <v>1</v>
      </c>
      <c r="G74" s="15">
        <f>F74/SUM($F$74:$F$77)</f>
        <v>0.24938744788817807</v>
      </c>
    </row>
    <row r="75" spans="1:7" x14ac:dyDescent="0.3">
      <c r="A75" s="17" t="s">
        <v>23</v>
      </c>
      <c r="B75" s="13">
        <f>(IF($C$27/$C$26&gt;=1,MIN(ROUND($C$27/$C$26,0),9),1/MIN(ROUND($C$26/$C$27,0),9))*IF($D$27/$D$26&gt;=1,MIN(ROUND($D$27/$D$26,0),9),1/MIN(ROUND($D$26/$D$27,0),9))*IF($E$27/$E$26&gt;=1,MIN(ROUND($E$27/$E$26,0),9),1/MIN(ROUND($E$26/$E$27,0),9)))^(1/3)</f>
        <v>1</v>
      </c>
      <c r="C75" s="13">
        <v>1</v>
      </c>
      <c r="D75" s="13">
        <f>(IF($C$27/$C$28&gt;=1,MIN(ROUND($C$27/$C$28,0),9),1/MIN(ROUND($C$28/$C$27,0),9))*IF($D$27/$D$28&gt;=1,MIN(ROUND($D$27/$D$28,0),9),1/MIN(ROUND($D$28/$D$27,0),9))*IF($E$27/$E$28&gt;=1,MIN(ROUND($E$27/$E$28,0),9),1/MIN(ROUND($E$28/$E$27,0),9)))^(1/3)</f>
        <v>0.79370052598409979</v>
      </c>
      <c r="E75" s="13">
        <f>(IF($C$27/$C$29&gt;=1,MIN(ROUND($C$27/$C$29,0),9),1/MIN(ROUND($C$29/$C$27,0),9))*IF($D$27/$D$29&gt;=1,MIN(ROUND($D$27/$D$29,0),9),1/MIN(ROUND($D$29/$D$27,0),9))*IF($E$27/$E$29&gt;=1,MIN(ROUND($E$27/$E$29,0),9),1/MIN(ROUND($E$29/$E$27,0),9)))^(1/3)</f>
        <v>0.79370052598409979</v>
      </c>
      <c r="F75" s="13">
        <f>GEOMEAN(B75:E75)</f>
        <v>0.89089871814033939</v>
      </c>
      <c r="G75" s="15">
        <f>F75/SUM($F$74:$F$77)</f>
        <v>0.22217895764386855</v>
      </c>
    </row>
    <row r="76" spans="1:7" x14ac:dyDescent="0.3">
      <c r="A76" s="17" t="s">
        <v>25</v>
      </c>
      <c r="B76" s="13">
        <f>(IF($C$28/$C$26&gt;=1,MIN(ROUND($C$28/$C$26,0),9),1/MIN(ROUND($C$26/$C$28,0),9))*IF($D$28/$D$26&gt;=1,MIN(ROUND($D$28/$D$26,0),9),1/MIN(ROUND($D$26/$D$28,0),9))*IF($E$28/$E$26&gt;=1,MIN(ROUND($E$28/$E$26,0),9),1/MIN(ROUND($E$26/$E$28,0),9)))^(1/3)</f>
        <v>1</v>
      </c>
      <c r="C76" s="13">
        <f>(IF($C$28/$C$27&gt;=1,MIN(ROUND($C$28/$C$27,0),9),1/MIN(ROUND($C$27/$C$28,0),9))*IF($D$28/$D$27&gt;=1,MIN(ROUND($D$28/$D$27,0),9),1/MIN(ROUND($D$27/$D$28,0),9))*IF($E$28/$E$27&gt;=1,MIN(ROUND($E$28/$E$27,0),9),1/MIN(ROUND($E$27/$E$28,0),9)))^(1/3)</f>
        <v>1.2599210498948732</v>
      </c>
      <c r="D76" s="13">
        <v>1</v>
      </c>
      <c r="E76" s="13">
        <f>(IF($C$28/$C$29&gt;=1,MIN(ROUND($C$28/$C$29,0),9),1/MIN(ROUND($C$29/$C$28,0),9))*IF($D$28/$D$29&gt;=1,MIN(ROUND($D$28/$D$29,0),9),1/MIN(ROUND($D$29/$D$28,0),9))*IF($E$28/$E$29&gt;=1,MIN(ROUND($E$28/$E$29,0),9),1/MIN(ROUND($E$29/$E$28,0),9)))^(1/3)</f>
        <v>1</v>
      </c>
      <c r="F76" s="13">
        <f>GEOMEAN(B76:E76)</f>
        <v>1.0594630943592953</v>
      </c>
      <c r="G76" s="15">
        <f>F76/SUM($F$74:$F$77)</f>
        <v>0.26421679723397667</v>
      </c>
    </row>
    <row r="77" spans="1:7" x14ac:dyDescent="0.3">
      <c r="A77" s="17" t="s">
        <v>27</v>
      </c>
      <c r="B77" s="13">
        <f>(IF($C$29/$C$26&gt;=1,MIN(ROUND($C$29/$C$26,0),9),1/MIN(ROUND($C$26/$C$29,0),9))*IF($D$29/$D$26&gt;=1,MIN(ROUND($D$29/$D$26,0),9),1/MIN(ROUND($D$26/$D$29,0),9))*IF($E$29/$E$26&gt;=1,MIN(ROUND($E$29/$E$26,0),9),1/MIN(ROUND($E$26/$E$29,0),9)))^(1/3)</f>
        <v>1</v>
      </c>
      <c r="C77" s="13">
        <f>(IF($C$29/$C$27&gt;=1,MIN(ROUND($C$29/$C$27,0),9),1/MIN(ROUND($C$27/$C$29,0),9))*IF($D$29/$D$27&gt;=1,MIN(ROUND($D$29/$D$27,0),9),1/MIN(ROUND($D$27/$D$29,0),9))*IF($E$29/$E$27&gt;=1,MIN(ROUND($E$29/$E$27,0),9),1/MIN(ROUND($E$27/$E$29,0),9)))^(1/3)</f>
        <v>1.2599210498948732</v>
      </c>
      <c r="D77" s="13">
        <f>(IF($C$29/$C$28&gt;=1,MIN(ROUND($C$29/$C$28,0),9),1/MIN(ROUND($C$28/$C$29,0),9))*IF($D$29/$D$28&gt;=1,MIN(ROUND($D$29/$D$28,0),9),1/MIN(ROUND($D$28/$D$29,0),9))*IF($E$29/$E$28&gt;=1,MIN(ROUND($E$29/$E$28,0),9),1/MIN(ROUND($E$28/$E$29,0),9)))^(1/3)</f>
        <v>1</v>
      </c>
      <c r="E77" s="13">
        <v>1</v>
      </c>
      <c r="F77" s="13">
        <f>GEOMEAN(B77:E77)</f>
        <v>1.0594630943592953</v>
      </c>
      <c r="G77" s="15">
        <f>F77/SUM($F$74:$F$77)</f>
        <v>0.26421679723397667</v>
      </c>
    </row>
    <row r="78" spans="1:7" x14ac:dyDescent="0.3">
      <c r="A78" s="9" t="s">
        <v>58</v>
      </c>
      <c r="B78" s="13">
        <f>SUM(B74:B77)</f>
        <v>4</v>
      </c>
      <c r="C78" s="13">
        <f>SUM(C74:C77)</f>
        <v>4.5198420997897468</v>
      </c>
      <c r="D78" s="13">
        <f>SUM(D74:D77)</f>
        <v>3.7937005259840997</v>
      </c>
      <c r="E78" s="13">
        <f>SUM(E74:E77)</f>
        <v>3.7937005259840997</v>
      </c>
    </row>
    <row r="79" spans="1:7" x14ac:dyDescent="0.3">
      <c r="A79" s="9" t="s">
        <v>59</v>
      </c>
      <c r="B79" s="13">
        <f>G74</f>
        <v>0.24938744788817807</v>
      </c>
      <c r="C79" s="13">
        <f>G75</f>
        <v>0.22217895764386855</v>
      </c>
      <c r="D79" s="13">
        <f>G76</f>
        <v>0.26421679723397667</v>
      </c>
      <c r="E79" s="13">
        <f>G77</f>
        <v>0.26421679723397667</v>
      </c>
    </row>
    <row r="80" spans="1:7" x14ac:dyDescent="0.3">
      <c r="A80" s="9" t="s">
        <v>60</v>
      </c>
      <c r="B80" s="18">
        <f>SUMPRODUCT(B78:E78,B79:E79)</f>
        <v>4.0064824032796151</v>
      </c>
      <c r="C80" s="9" t="s">
        <v>61</v>
      </c>
      <c r="D80" s="18">
        <f>(B80-4)/3</f>
        <v>2.1608010932050448E-3</v>
      </c>
      <c r="E80" s="9" t="s">
        <v>62</v>
      </c>
      <c r="F80" s="18">
        <f>D80/0.9</f>
        <v>2.4008901035611607E-3</v>
      </c>
      <c r="G80" s="19" t="str">
        <f>IF(F80&lt;0.1,"согласована","требует пересмотра")</f>
        <v>согласована</v>
      </c>
    </row>
    <row r="84" spans="1:7" ht="15.6" x14ac:dyDescent="0.3">
      <c r="A84" s="1" t="s">
        <v>67</v>
      </c>
    </row>
    <row r="85" spans="1:7" ht="26.4" x14ac:dyDescent="0.3">
      <c r="A85" s="3" t="s">
        <v>43</v>
      </c>
      <c r="B85" s="3" t="s">
        <v>11</v>
      </c>
      <c r="C85" s="3" t="s">
        <v>12</v>
      </c>
      <c r="D85" s="3" t="s">
        <v>15</v>
      </c>
      <c r="E85" s="3" t="s">
        <v>17</v>
      </c>
      <c r="F85" s="3" t="s">
        <v>68</v>
      </c>
      <c r="G85" s="3" t="s">
        <v>50</v>
      </c>
    </row>
    <row r="86" spans="1:7" x14ac:dyDescent="0.3">
      <c r="A86" s="9" t="s">
        <v>69</v>
      </c>
      <c r="B86" s="18">
        <f>G34</f>
        <v>0.26359487079982319</v>
      </c>
      <c r="C86" s="18">
        <f>G35</f>
        <v>0.26359487079982319</v>
      </c>
      <c r="D86" s="18">
        <f>G36</f>
        <v>0.26359487079982319</v>
      </c>
      <c r="E86" s="18">
        <f>G37</f>
        <v>0.20921538760053049</v>
      </c>
      <c r="F86" s="10"/>
      <c r="G86" s="10"/>
    </row>
    <row r="87" spans="1:7" x14ac:dyDescent="0.3">
      <c r="A87" s="4" t="s">
        <v>21</v>
      </c>
      <c r="B87" s="18">
        <f>G44</f>
        <v>0.32044664225484715</v>
      </c>
      <c r="C87" s="18">
        <f>G54</f>
        <v>0.32777601370466475</v>
      </c>
      <c r="D87" s="18">
        <f>G64</f>
        <v>0.2485817443308268</v>
      </c>
      <c r="E87" s="18">
        <f>G74</f>
        <v>0.24938744788817807</v>
      </c>
      <c r="F87" s="15">
        <f>SUMPRODUCT(B87:E87,B$86:E$86)</f>
        <v>0.28856873159987706</v>
      </c>
      <c r="G87" s="8">
        <f>RANK(F87,F$87:F$90,0)</f>
        <v>1</v>
      </c>
    </row>
    <row r="88" spans="1:7" x14ac:dyDescent="0.3">
      <c r="A88" s="4" t="s">
        <v>23</v>
      </c>
      <c r="B88" s="18">
        <f>G45</f>
        <v>0.32822169705371956</v>
      </c>
      <c r="C88" s="18">
        <f>G55</f>
        <v>0.19489678381240835</v>
      </c>
      <c r="D88" s="18">
        <f>G65</f>
        <v>0.20903149770530766</v>
      </c>
      <c r="E88" s="18">
        <f>G75</f>
        <v>0.22217895764386855</v>
      </c>
      <c r="F88" s="15">
        <f>SUMPRODUCT(B88:E88,B$86:E$86)</f>
        <v>0.23947423574777466</v>
      </c>
      <c r="G88" s="8">
        <f>RANK(F88,F$87:F$90,0)</f>
        <v>3</v>
      </c>
    </row>
    <row r="89" spans="1:7" x14ac:dyDescent="0.3">
      <c r="A89" s="4" t="s">
        <v>25</v>
      </c>
      <c r="B89" s="18">
        <f>G46</f>
        <v>0.19794459204197881</v>
      </c>
      <c r="C89" s="18">
        <f>G56</f>
        <v>0.24555456048206364</v>
      </c>
      <c r="D89" s="18">
        <f>G66</f>
        <v>0.26336318404996895</v>
      </c>
      <c r="E89" s="18">
        <f>G76</f>
        <v>0.26421679723397667</v>
      </c>
      <c r="F89" s="15">
        <f>SUMPRODUCT(B89:E89,B$86:E$86)</f>
        <v>0.24160350592636487</v>
      </c>
      <c r="G89" s="8">
        <f>RANK(F89,F$87:F$90,0)</f>
        <v>2</v>
      </c>
    </row>
    <row r="90" spans="1:7" x14ac:dyDescent="0.3">
      <c r="A90" s="4" t="s">
        <v>27</v>
      </c>
      <c r="B90" s="18">
        <f>G47</f>
        <v>0.15338706864945442</v>
      </c>
      <c r="C90" s="18">
        <f>G57</f>
        <v>0.23177264200086317</v>
      </c>
      <c r="D90" s="18">
        <f>G67</f>
        <v>0.27902357391389671</v>
      </c>
      <c r="E90" s="18">
        <f>G77</f>
        <v>0.26421679723397667</v>
      </c>
      <c r="F90" s="15">
        <f>SUMPRODUCT(B90:E90,B$86:E$86)</f>
        <v>0.23035352672598347</v>
      </c>
      <c r="G90" s="8">
        <f>RANK(F90,F$87:F$90,0)</f>
        <v>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"/>
  <sheetViews>
    <sheetView showGridLines="0" zoomScaleNormal="100" workbookViewId="0">
      <selection activeCell="F16" sqref="F16"/>
    </sheetView>
  </sheetViews>
  <sheetFormatPr defaultColWidth="8.6640625" defaultRowHeight="14.4" x14ac:dyDescent="0.3"/>
  <cols>
    <col min="1" max="1" width="10" customWidth="1"/>
    <col min="2" max="2" width="52" customWidth="1"/>
    <col min="3" max="6" width="16" customWidth="1"/>
  </cols>
  <sheetData>
    <row r="1" spans="1:6" ht="15.6" x14ac:dyDescent="0.3">
      <c r="A1" s="1" t="s">
        <v>70</v>
      </c>
    </row>
    <row r="3" spans="1:6" ht="26.4" x14ac:dyDescent="0.3">
      <c r="A3" s="3" t="s">
        <v>43</v>
      </c>
      <c r="B3" s="3" t="s">
        <v>20</v>
      </c>
      <c r="C3" s="3" t="s">
        <v>71</v>
      </c>
      <c r="D3" s="3" t="s">
        <v>72</v>
      </c>
      <c r="E3" s="3" t="s">
        <v>73</v>
      </c>
      <c r="F3" s="3" t="s">
        <v>74</v>
      </c>
    </row>
    <row r="4" spans="1:6" x14ac:dyDescent="0.3">
      <c r="A4" s="4" t="s">
        <v>21</v>
      </c>
      <c r="B4" s="7" t="s">
        <v>22</v>
      </c>
      <c r="C4" s="18">
        <f>TOPSIS!D44</f>
        <v>0.57316372813820116</v>
      </c>
      <c r="D4" s="8">
        <f>TOPSIS!E44</f>
        <v>1</v>
      </c>
      <c r="E4" s="18">
        <f>МАИ!F87</f>
        <v>0.28856873159987706</v>
      </c>
      <c r="F4" s="8">
        <f>МАИ!G87</f>
        <v>1</v>
      </c>
    </row>
    <row r="5" spans="1:6" x14ac:dyDescent="0.3">
      <c r="A5" s="4" t="s">
        <v>23</v>
      </c>
      <c r="B5" s="7" t="s">
        <v>24</v>
      </c>
      <c r="C5" s="18">
        <f>TOPSIS!D45</f>
        <v>0.49955379505657965</v>
      </c>
      <c r="D5" s="8">
        <f>TOPSIS!E45</f>
        <v>4</v>
      </c>
      <c r="E5" s="18">
        <f>МАИ!F88</f>
        <v>0.23947423574777466</v>
      </c>
      <c r="F5" s="8">
        <f>МАИ!G88</f>
        <v>3</v>
      </c>
    </row>
    <row r="6" spans="1:6" x14ac:dyDescent="0.3">
      <c r="A6" s="4" t="s">
        <v>25</v>
      </c>
      <c r="B6" s="7" t="s">
        <v>26</v>
      </c>
      <c r="C6" s="18">
        <f>TOPSIS!D46</f>
        <v>0.5224750643102104</v>
      </c>
      <c r="D6" s="8">
        <f>TOPSIS!E46</f>
        <v>2</v>
      </c>
      <c r="E6" s="18">
        <f>МАИ!F89</f>
        <v>0.24160350592636487</v>
      </c>
      <c r="F6" s="8">
        <f>МАИ!G89</f>
        <v>2</v>
      </c>
    </row>
    <row r="7" spans="1:6" x14ac:dyDescent="0.3">
      <c r="A7" s="4" t="s">
        <v>27</v>
      </c>
      <c r="B7" s="7" t="s">
        <v>28</v>
      </c>
      <c r="C7" s="18">
        <f>TOPSIS!D47</f>
        <v>0.52210554294217393</v>
      </c>
      <c r="D7" s="8">
        <f>TOPSIS!E47</f>
        <v>3</v>
      </c>
      <c r="E7" s="18">
        <f>МАИ!F90</f>
        <v>0.23035352672598347</v>
      </c>
      <c r="F7" s="8">
        <f>МАИ!G90</f>
        <v>4</v>
      </c>
    </row>
    <row r="9" spans="1:6" x14ac:dyDescent="0.3">
      <c r="A9" s="20" t="s">
        <v>75</v>
      </c>
      <c r="C9" s="4" t="str">
        <f>INDEX($A$4:$A$7,MATCH(1,$D$4:$D$7,0))</f>
        <v>A1</v>
      </c>
    </row>
    <row r="10" spans="1:6" x14ac:dyDescent="0.3">
      <c r="A10" s="20" t="s">
        <v>76</v>
      </c>
      <c r="C10" s="4" t="str">
        <f>INDEX($A$4:$A$7,MATCH(1,$F$4:$F$7,0))</f>
        <v>A1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Оценки</vt:lpstr>
      <vt:lpstr>TOPSIS</vt:lpstr>
      <vt:lpstr>МАИ</vt:lpstr>
      <vt:lpstr>Итог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Леонид Челяпин</cp:lastModifiedBy>
  <cp:revision>1</cp:revision>
  <dcterms:created xsi:type="dcterms:W3CDTF">2026-09-29T14:55:48Z</dcterms:created>
  <dcterms:modified xsi:type="dcterms:W3CDTF">2026-10-09T13:24:19Z</dcterms:modified>
  <dc:language>ru-RU</dc:language>
</cp:coreProperties>
</file>