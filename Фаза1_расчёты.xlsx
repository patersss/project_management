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Оценки" sheetId="1" state="visible" r:id="rId3"/>
    <sheet name="TOPSIS" sheetId="2" state="visible" r:id="rId4"/>
    <sheet name="МАИ" sheetId="3" state="visible" r:id="rId5"/>
    <sheet name="Итог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<sst xmlns="http://schemas.openxmlformats.org/spreadsheetml/2006/main" count="339" uniqueCount="80">
  <si>
    <t xml:space="preserve">Фаза 1. Исходные экспертные оценки</t>
  </si>
  <si>
    <t xml:space="preserve">Синим — редактируемые ячейки. Все расчёты на остальных листах пересчитываются автоматически.</t>
  </si>
  <si>
    <t xml:space="preserve">Код</t>
  </si>
  <si>
    <t xml:space="preserve">Критерий</t>
  </si>
  <si>
    <t xml:space="preserve">Тип</t>
  </si>
  <si>
    <t xml:space="preserve">Челяпин Л.</t>
  </si>
  <si>
    <t xml:space="preserve">Засыпко Д.</t>
  </si>
  <si>
    <t xml:space="preserve">Сопельняк А.</t>
  </si>
  <si>
    <t xml:space="preserve">п</t>
  </si>
  <si>
    <t xml:space="preserve">о</t>
  </si>
  <si>
    <t xml:space="preserve">опт</t>
  </si>
  <si>
    <t xml:space="preserve">C1</t>
  </si>
  <si>
    <t xml:space="preserve">Зависимость от внешних источников данных и интеграций</t>
  </si>
  <si>
    <t xml:space="preserve">затратный</t>
  </si>
  <si>
    <t xml:space="preserve">C2</t>
  </si>
  <si>
    <t xml:space="preserve">Острота решаемой проблемы для пользователя</t>
  </si>
  <si>
    <t xml:space="preserve">выгодный</t>
  </si>
  <si>
    <t xml:space="preserve">C3</t>
  </si>
  <si>
    <t xml:space="preserve">Потенциал монетизации</t>
  </si>
  <si>
    <t xml:space="preserve">C4</t>
  </si>
  <si>
    <t xml:space="preserve">Простота декомпозиции на Use Cases</t>
  </si>
  <si>
    <t xml:space="preserve">2. Альтернативы</t>
  </si>
  <si>
    <t xml:space="preserve">Концепция</t>
  </si>
  <si>
    <t xml:space="preserve">A1</t>
  </si>
  <si>
    <t xml:space="preserve">Общие подписки и бытовые расходы соседей по квартире</t>
  </si>
  <si>
    <t xml:space="preserve">A2</t>
  </si>
  <si>
    <t xml:space="preserve">Трекер поломок и ремонтов вещей («паспорт вещи»)</t>
  </si>
  <si>
    <t xml:space="preserve">A3</t>
  </si>
  <si>
    <t xml:space="preserve">FocusFlow — планировщик задач по правилам тайм-менеджмента</t>
  </si>
  <si>
    <t xml:space="preserve">A4</t>
  </si>
  <si>
    <t xml:space="preserve">Система контроля версий для текстовых документов</t>
  </si>
  <si>
    <t xml:space="preserve">3. Оценки альтернатив по критериям, шкала 1…9</t>
  </si>
  <si>
    <t xml:space="preserve">Альтернатива</t>
  </si>
  <si>
    <t xml:space="preserve">Нечёткий коллективный TOPSIS</t>
  </si>
  <si>
    <t xml:space="preserve">Агрегация мнений: l = min, m = среднее, u = max. FPIS = (1;1;1), FNIS = (0;0;0), вершинное расстояние.</t>
  </si>
  <si>
    <t xml:space="preserve">1. Агрегированные и нормированные веса критериев</t>
  </si>
  <si>
    <t xml:space="preserve">l</t>
  </si>
  <si>
    <t xml:space="preserve">m</t>
  </si>
  <si>
    <t xml:space="preserve">u</t>
  </si>
  <si>
    <t xml:space="preserve">Множитель k</t>
  </si>
  <si>
    <t xml:space="preserve">u·k</t>
  </si>
  <si>
    <t xml:space="preserve">w (l)</t>
  </si>
  <si>
    <t xml:space="preserve">w (m)</t>
  </si>
  <si>
    <t xml:space="preserve">w (u)</t>
  </si>
  <si>
    <t xml:space="preserve">Множитель k — ручка для анализа чувствительности: поставьте 2, чтобы удвоить вес критерия, и посмотрите, меняется ли победитель.</t>
  </si>
  <si>
    <t xml:space="preserve">2. Агрегированная нечёткая матрица решений</t>
  </si>
  <si>
    <t xml:space="preserve">Альт.</t>
  </si>
  <si>
    <t xml:space="preserve">3. Нормализованная нечёткая матрица</t>
  </si>
  <si>
    <t xml:space="preserve">4. Взвешенная нормализованная матрица</t>
  </si>
  <si>
    <t xml:space="preserve">5. Расстояния до идеальных решений и коэффициент близости</t>
  </si>
  <si>
    <t xml:space="preserve">d+ (до FPIS)</t>
  </si>
  <si>
    <t xml:space="preserve">d− (до FNIS)</t>
  </si>
  <si>
    <t xml:space="preserve">CC = d− / (d+ + d−)</t>
  </si>
  <si>
    <t xml:space="preserve">Ранг</t>
  </si>
  <si>
    <t xml:space="preserve">Чёткий коллективный МАИ (метод анализа иерархий)</t>
  </si>
  <si>
    <t xml:space="preserve">Дефаззификация PERT c=(l+4m+u)/6 → матрицы парных сравнений по шкале Саати → агрегация AIJ (среднее геометрическое) → приоритеты.</t>
  </si>
  <si>
    <t xml:space="preserve">1. Чёткие оценки после дефаззификации. Важность критериев</t>
  </si>
  <si>
    <t xml:space="preserve">Оценки альтернатив (для затратных критериев шкала инвертируется: 10 − c)</t>
  </si>
  <si>
    <t xml:space="preserve">2. Матрица парных сравнений критериев (групповая, AIJ)</t>
  </si>
  <si>
    <t xml:space="preserve">GEOMEAN</t>
  </si>
  <si>
    <t xml:space="preserve">Приоритет</t>
  </si>
  <si>
    <t xml:space="preserve">Σ столбца</t>
  </si>
  <si>
    <t xml:space="preserve">w (гориз.)</t>
  </si>
  <si>
    <t xml:space="preserve">λmax</t>
  </si>
  <si>
    <t xml:space="preserve">CI</t>
  </si>
  <si>
    <t xml:space="preserve">CR</t>
  </si>
  <si>
    <t xml:space="preserve">Матрица парных сравнений альтернатив по критерию C1 — Зависимость от внешних источников данных и интеграций</t>
  </si>
  <si>
    <t xml:space="preserve">Матрица парных сравнений альтернатив по критерию C2 — Острота решаемой проблемы для пользователя</t>
  </si>
  <si>
    <t xml:space="preserve">Матрица парных сравнений альтернатив по критерию C3 — Потенциал монетизации</t>
  </si>
  <si>
    <t xml:space="preserve">Матрица парных сравнений альтернатив по критерию C4 — Простота декомпозиции на Use Cases</t>
  </si>
  <si>
    <t xml:space="preserve">3. Глобальные приоритеты альтернатив</t>
  </si>
  <si>
    <t xml:space="preserve">Глобальный приоритет</t>
  </si>
  <si>
    <t xml:space="preserve">Вес критерия</t>
  </si>
  <si>
    <t xml:space="preserve">Сводное сравнение методов</t>
  </si>
  <si>
    <t xml:space="preserve">CC (TOPSIS)</t>
  </si>
  <si>
    <t xml:space="preserve">Ранг TOPSIS</t>
  </si>
  <si>
    <t xml:space="preserve">Приоритет (МАИ)</t>
  </si>
  <si>
    <t xml:space="preserve">Ранг МАИ</t>
  </si>
  <si>
    <t xml:space="preserve">Победитель по TOPSIS:</t>
  </si>
  <si>
    <t xml:space="preserve">Победитель по МАИ: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</si>
</sst>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"/>
    <numFmt numFmtId="167" formatCode="0.0000"/>
    <numFmt numFmtId="168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name val="Arial"/>
      <family val="0"/>
      <charset val="1"/>
    </font>
    <font>
      <i val="true"/>
      <sz val="9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5F0"/>
        <bgColor rgb="FFF2F2F2"/>
      </patternFill>
    </fill>
    <fill>
      <patternFill patternType="solid">
        <fgColor rgb="FFF2F2F2"/>
        <bgColor rgb="FFDDE5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5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fals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E9" activeCellId="0" sqref="E9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.44"/>
    <col collapsed="false" customWidth="true" hidden="false" outlineLevel="0" max="3" min="3" style="0" width="12"/>
    <col collapsed="false" customWidth="true" hidden="false" outlineLevel="0" max="12" min="4" style="0" width="6"/>
  </cols>
  <sheetData>
    <row r="1" customFormat="false" ht="15" hidden="false" customHeight="fals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</row>
    <row r="4" customFormat="false" ht="14.2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/>
      <c r="F4" s="3"/>
      <c r="G4" s="3" t="s">
        <v>6</v>
      </c>
      <c r="H4" s="3"/>
      <c r="I4" s="3"/>
      <c r="J4" s="3" t="s">
        <v>7</v>
      </c>
      <c r="K4" s="3"/>
      <c r="L4" s="3"/>
    </row>
    <row r="5" customFormat="false" ht="14.25" hidden="false" customHeight="false" outlineLevel="0" collapsed="false">
      <c r="A5" s="3"/>
      <c r="B5" s="3"/>
      <c r="C5" s="3"/>
      <c r="D5" s="3" t="s">
        <v>8</v>
      </c>
      <c r="E5" s="3" t="s">
        <v>9</v>
      </c>
      <c r="F5" s="3" t="s">
        <v>10</v>
      </c>
      <c r="G5" s="3" t="s">
        <v>8</v>
      </c>
      <c r="H5" s="3" t="s">
        <v>9</v>
      </c>
      <c r="I5" s="3" t="s">
        <v>10</v>
      </c>
      <c r="J5" s="3" t="s">
        <v>8</v>
      </c>
      <c r="K5" s="3" t="s">
        <v>9</v>
      </c>
      <c r="L5" s="3" t="s">
        <v>10</v>
      </c>
    </row>
    <row r="6" customFormat="false" ht="14.25" hidden="false" customHeight="false" outlineLevel="0" collapsed="false">
      <c r="A6" s="4" t="s">
        <v>11</v>
      </c>
      <c r="B6" s="5" t="s">
        <v>12</v>
      </c>
      <c r="C6" s="6" t="s">
        <v>13</v>
      </c>
      <c r="D6" s="6" t="n">
        <v>6</v>
      </c>
      <c r="E6" s="6" t="n">
        <v>7</v>
      </c>
      <c r="F6" s="6" t="n">
        <v>8</v>
      </c>
      <c r="G6" s="6" t="n">
        <v>5</v>
      </c>
      <c r="H6" s="6" t="n">
        <v>6</v>
      </c>
      <c r="I6" s="6" t="n">
        <v>7</v>
      </c>
      <c r="J6" s="6" t="n">
        <v>7</v>
      </c>
      <c r="K6" s="6" t="n">
        <v>7</v>
      </c>
      <c r="L6" s="6" t="n">
        <v>9</v>
      </c>
    </row>
    <row r="7" customFormat="false" ht="14.25" hidden="false" customHeight="false" outlineLevel="0" collapsed="false">
      <c r="A7" s="4" t="s">
        <v>14</v>
      </c>
      <c r="B7" s="5" t="s">
        <v>15</v>
      </c>
      <c r="C7" s="6" t="s">
        <v>16</v>
      </c>
      <c r="D7" s="6" t="n">
        <v>7</v>
      </c>
      <c r="E7" s="6" t="n">
        <v>8</v>
      </c>
      <c r="F7" s="6" t="n">
        <v>9</v>
      </c>
      <c r="G7" s="6" t="n">
        <v>8</v>
      </c>
      <c r="H7" s="6" t="n">
        <v>9</v>
      </c>
      <c r="I7" s="6" t="n">
        <v>9</v>
      </c>
      <c r="J7" s="6" t="n">
        <v>5</v>
      </c>
      <c r="K7" s="6" t="n">
        <v>7</v>
      </c>
      <c r="L7" s="6" t="n">
        <v>8</v>
      </c>
    </row>
    <row r="8" customFormat="false" ht="14.25" hidden="false" customHeight="false" outlineLevel="0" collapsed="false">
      <c r="A8" s="4" t="s">
        <v>17</v>
      </c>
      <c r="B8" s="5" t="s">
        <v>18</v>
      </c>
      <c r="C8" s="6" t="s">
        <v>16</v>
      </c>
      <c r="D8" s="6" t="n">
        <v>3</v>
      </c>
      <c r="E8" s="6" t="n">
        <v>4</v>
      </c>
      <c r="F8" s="6" t="n">
        <v>5</v>
      </c>
      <c r="G8" s="6" t="n">
        <v>5</v>
      </c>
      <c r="H8" s="6" t="n">
        <v>6</v>
      </c>
      <c r="I8" s="6" t="n">
        <v>7</v>
      </c>
      <c r="J8" s="6" t="n">
        <v>7</v>
      </c>
      <c r="K8" s="6" t="n">
        <v>6</v>
      </c>
      <c r="L8" s="6" t="n">
        <v>8</v>
      </c>
    </row>
    <row r="9" customFormat="false" ht="14.25" hidden="false" customHeight="false" outlineLevel="0" collapsed="false">
      <c r="A9" s="4" t="s">
        <v>19</v>
      </c>
      <c r="B9" s="5" t="s">
        <v>20</v>
      </c>
      <c r="C9" s="6" t="s">
        <v>16</v>
      </c>
      <c r="D9" s="6" t="n">
        <v>7</v>
      </c>
      <c r="E9" s="6" t="n">
        <v>8</v>
      </c>
      <c r="F9" s="6" t="n">
        <v>9</v>
      </c>
      <c r="G9" s="6" t="n">
        <v>6</v>
      </c>
      <c r="H9" s="6" t="n">
        <v>7</v>
      </c>
      <c r="I9" s="6" t="n">
        <v>8</v>
      </c>
      <c r="J9" s="6" t="n">
        <v>7</v>
      </c>
      <c r="K9" s="6" t="n">
        <v>8</v>
      </c>
      <c r="L9" s="6" t="n">
        <v>9</v>
      </c>
    </row>
    <row r="11" customFormat="false" ht="15" hidden="false" customHeight="false" outlineLevel="0" collapsed="false">
      <c r="A11" s="1" t="s">
        <v>21</v>
      </c>
    </row>
    <row r="12" customFormat="false" ht="14.25" hidden="false" customHeight="false" outlineLevel="0" collapsed="false">
      <c r="A12" s="3" t="s">
        <v>2</v>
      </c>
      <c r="B12" s="3" t="s">
        <v>22</v>
      </c>
    </row>
    <row r="13" customFormat="false" ht="14.25" hidden="false" customHeight="false" outlineLevel="0" collapsed="false">
      <c r="A13" s="4" t="s">
        <v>23</v>
      </c>
      <c r="B13" s="7" t="s">
        <v>24</v>
      </c>
    </row>
    <row r="14" customFormat="false" ht="14.25" hidden="false" customHeight="false" outlineLevel="0" collapsed="false">
      <c r="A14" s="4" t="s">
        <v>25</v>
      </c>
      <c r="B14" s="7" t="s">
        <v>26</v>
      </c>
    </row>
    <row r="15" customFormat="false" ht="14.25" hidden="false" customHeight="false" outlineLevel="0" collapsed="false">
      <c r="A15" s="4" t="s">
        <v>27</v>
      </c>
      <c r="B15" s="7" t="s">
        <v>28</v>
      </c>
    </row>
    <row r="16" customFormat="false" ht="14.25" hidden="false" customHeight="false" outlineLevel="0" collapsed="false">
      <c r="A16" s="4" t="s">
        <v>29</v>
      </c>
      <c r="B16" s="7" t="s">
        <v>30</v>
      </c>
    </row>
    <row r="18" customFormat="false" ht="15" hidden="false" customHeight="false" outlineLevel="0" collapsed="false">
      <c r="A18" s="1" t="s">
        <v>31</v>
      </c>
    </row>
    <row r="19" customFormat="false" ht="14.25" hidden="false" customHeight="true" outlineLevel="0" collapsed="false">
      <c r="A19" s="3" t="s">
        <v>3</v>
      </c>
      <c r="B19" s="3" t="s">
        <v>32</v>
      </c>
      <c r="C19" s="3"/>
      <c r="D19" s="3" t="s">
        <v>5</v>
      </c>
      <c r="E19" s="3"/>
      <c r="F19" s="3"/>
      <c r="G19" s="3" t="s">
        <v>6</v>
      </c>
      <c r="H19" s="3"/>
      <c r="I19" s="3"/>
      <c r="J19" s="3" t="s">
        <v>7</v>
      </c>
      <c r="K19" s="3"/>
      <c r="L19" s="3"/>
    </row>
    <row r="20" customFormat="false" ht="14.25" hidden="false" customHeight="false" outlineLevel="0" collapsed="false">
      <c r="A20" s="3"/>
      <c r="B20" s="3"/>
      <c r="C20" s="3"/>
      <c r="D20" s="3" t="s">
        <v>8</v>
      </c>
      <c r="E20" s="3" t="s">
        <v>9</v>
      </c>
      <c r="F20" s="3" t="s">
        <v>10</v>
      </c>
      <c r="G20" s="3" t="s">
        <v>8</v>
      </c>
      <c r="H20" s="3" t="s">
        <v>9</v>
      </c>
      <c r="I20" s="3" t="s">
        <v>10</v>
      </c>
      <c r="J20" s="3" t="s">
        <v>8</v>
      </c>
      <c r="K20" s="3" t="s">
        <v>9</v>
      </c>
      <c r="L20" s="3" t="s">
        <v>10</v>
      </c>
    </row>
    <row r="21" customFormat="false" ht="14.25" hidden="false" customHeight="false" outlineLevel="0" collapsed="false">
      <c r="A21" s="4" t="s">
        <v>11</v>
      </c>
      <c r="B21" s="8" t="s">
        <v>23</v>
      </c>
      <c r="C21" s="8"/>
      <c r="D21" s="6" t="n">
        <v>4</v>
      </c>
      <c r="E21" s="6" t="n">
        <v>5</v>
      </c>
      <c r="F21" s="6" t="n">
        <v>7</v>
      </c>
      <c r="G21" s="6" t="n">
        <v>5</v>
      </c>
      <c r="H21" s="6" t="n">
        <v>6</v>
      </c>
      <c r="I21" s="6" t="n">
        <v>8</v>
      </c>
      <c r="J21" s="6" t="n">
        <v>4</v>
      </c>
      <c r="K21" s="6" t="n">
        <v>6</v>
      </c>
      <c r="L21" s="6" t="n">
        <v>7</v>
      </c>
    </row>
    <row r="22" customFormat="false" ht="14.25" hidden="false" customHeight="false" outlineLevel="0" collapsed="false">
      <c r="A22" s="4" t="s">
        <v>11</v>
      </c>
      <c r="B22" s="8" t="s">
        <v>25</v>
      </c>
      <c r="C22" s="8"/>
      <c r="D22" s="6" t="n">
        <v>3</v>
      </c>
      <c r="E22" s="6" t="n">
        <v>4</v>
      </c>
      <c r="F22" s="6" t="n">
        <v>6</v>
      </c>
      <c r="G22" s="6" t="n">
        <v>3</v>
      </c>
      <c r="H22" s="6" t="n">
        <v>5</v>
      </c>
      <c r="I22" s="6" t="n">
        <v>6</v>
      </c>
      <c r="J22" s="6" t="n">
        <v>4</v>
      </c>
      <c r="K22" s="6" t="n">
        <v>6</v>
      </c>
      <c r="L22" s="6" t="n">
        <v>5</v>
      </c>
    </row>
    <row r="23" customFormat="false" ht="14.25" hidden="false" customHeight="false" outlineLevel="0" collapsed="false">
      <c r="A23" s="4" t="s">
        <v>11</v>
      </c>
      <c r="B23" s="8" t="s">
        <v>27</v>
      </c>
      <c r="C23" s="8"/>
      <c r="D23" s="6" t="n">
        <v>2</v>
      </c>
      <c r="E23" s="6" t="n">
        <v>3</v>
      </c>
      <c r="F23" s="6" t="n">
        <v>4</v>
      </c>
      <c r="G23" s="6" t="n">
        <v>2</v>
      </c>
      <c r="H23" s="6" t="n">
        <v>3</v>
      </c>
      <c r="I23" s="6" t="n">
        <v>5</v>
      </c>
      <c r="J23" s="6" t="n">
        <v>4</v>
      </c>
      <c r="K23" s="6" t="n">
        <v>2</v>
      </c>
      <c r="L23" s="6" t="n">
        <v>4</v>
      </c>
    </row>
    <row r="24" customFormat="false" ht="14.25" hidden="false" customHeight="false" outlineLevel="0" collapsed="false">
      <c r="A24" s="4" t="s">
        <v>11</v>
      </c>
      <c r="B24" s="8" t="s">
        <v>29</v>
      </c>
      <c r="C24" s="8"/>
      <c r="D24" s="6" t="n">
        <v>1</v>
      </c>
      <c r="E24" s="6" t="n">
        <v>2</v>
      </c>
      <c r="F24" s="6" t="n">
        <v>3</v>
      </c>
      <c r="G24" s="6" t="n">
        <v>1</v>
      </c>
      <c r="H24" s="6" t="n">
        <v>2</v>
      </c>
      <c r="I24" s="6" t="n">
        <v>3</v>
      </c>
      <c r="J24" s="6" t="n">
        <v>3</v>
      </c>
      <c r="K24" s="6" t="n">
        <v>3</v>
      </c>
      <c r="L24" s="6" t="n">
        <v>4</v>
      </c>
    </row>
    <row r="25" customFormat="false" ht="14.25" hidden="false" customHeight="false" outlineLevel="0" collapsed="false">
      <c r="A25" s="9" t="s">
        <v>14</v>
      </c>
      <c r="B25" s="10" t="s">
        <v>23</v>
      </c>
      <c r="C25" s="10"/>
      <c r="D25" s="11" t="n">
        <v>7</v>
      </c>
      <c r="E25" s="11" t="n">
        <v>8</v>
      </c>
      <c r="F25" s="11" t="n">
        <v>9</v>
      </c>
      <c r="G25" s="11" t="n">
        <v>8</v>
      </c>
      <c r="H25" s="11" t="n">
        <v>9</v>
      </c>
      <c r="I25" s="11" t="n">
        <v>9</v>
      </c>
      <c r="J25" s="11" t="n">
        <v>7</v>
      </c>
      <c r="K25" s="11" t="n">
        <v>9</v>
      </c>
      <c r="L25" s="11" t="n">
        <v>9</v>
      </c>
    </row>
    <row r="26" customFormat="false" ht="14.25" hidden="false" customHeight="false" outlineLevel="0" collapsed="false">
      <c r="A26" s="9" t="s">
        <v>14</v>
      </c>
      <c r="B26" s="10" t="s">
        <v>25</v>
      </c>
      <c r="C26" s="10"/>
      <c r="D26" s="11" t="n">
        <v>3</v>
      </c>
      <c r="E26" s="11" t="n">
        <v>4</v>
      </c>
      <c r="F26" s="11" t="n">
        <v>6</v>
      </c>
      <c r="G26" s="11" t="n">
        <v>4</v>
      </c>
      <c r="H26" s="11" t="n">
        <v>5</v>
      </c>
      <c r="I26" s="11" t="n">
        <v>6</v>
      </c>
      <c r="J26" s="11" t="n">
        <v>4</v>
      </c>
      <c r="K26" s="11" t="n">
        <v>6</v>
      </c>
      <c r="L26" s="11" t="n">
        <v>7</v>
      </c>
    </row>
    <row r="27" customFormat="false" ht="14.25" hidden="false" customHeight="false" outlineLevel="0" collapsed="false">
      <c r="A27" s="9" t="s">
        <v>14</v>
      </c>
      <c r="B27" s="10" t="s">
        <v>27</v>
      </c>
      <c r="C27" s="10"/>
      <c r="D27" s="11" t="n">
        <v>5</v>
      </c>
      <c r="E27" s="11" t="n">
        <v>6</v>
      </c>
      <c r="F27" s="11" t="n">
        <v>7</v>
      </c>
      <c r="G27" s="11" t="n">
        <v>4</v>
      </c>
      <c r="H27" s="11" t="n">
        <v>5</v>
      </c>
      <c r="I27" s="11" t="n">
        <v>7</v>
      </c>
      <c r="J27" s="11" t="n">
        <v>5</v>
      </c>
      <c r="K27" s="11" t="n">
        <v>6</v>
      </c>
      <c r="L27" s="11" t="n">
        <v>8</v>
      </c>
    </row>
    <row r="28" customFormat="false" ht="14.25" hidden="false" customHeight="false" outlineLevel="0" collapsed="false">
      <c r="A28" s="9" t="s">
        <v>14</v>
      </c>
      <c r="B28" s="10" t="s">
        <v>29</v>
      </c>
      <c r="C28" s="10"/>
      <c r="D28" s="11" t="n">
        <v>4</v>
      </c>
      <c r="E28" s="11" t="n">
        <v>5</v>
      </c>
      <c r="F28" s="11" t="n">
        <v>6</v>
      </c>
      <c r="G28" s="11" t="n">
        <v>3</v>
      </c>
      <c r="H28" s="11" t="n">
        <v>4</v>
      </c>
      <c r="I28" s="11" t="n">
        <v>6</v>
      </c>
      <c r="J28" s="11" t="n">
        <v>4</v>
      </c>
      <c r="K28" s="11" t="n">
        <v>5</v>
      </c>
      <c r="L28" s="11" t="n">
        <v>6</v>
      </c>
    </row>
    <row r="29" customFormat="false" ht="14.25" hidden="false" customHeight="false" outlineLevel="0" collapsed="false">
      <c r="A29" s="4" t="s">
        <v>17</v>
      </c>
      <c r="B29" s="8" t="s">
        <v>23</v>
      </c>
      <c r="C29" s="8"/>
      <c r="D29" s="6" t="n">
        <v>5</v>
      </c>
      <c r="E29" s="6" t="n">
        <v>6</v>
      </c>
      <c r="F29" s="6" t="n">
        <v>7</v>
      </c>
      <c r="G29" s="6" t="n">
        <v>6</v>
      </c>
      <c r="H29" s="6" t="n">
        <v>7</v>
      </c>
      <c r="I29" s="6" t="n">
        <v>8</v>
      </c>
      <c r="J29" s="6" t="n">
        <v>6</v>
      </c>
      <c r="K29" s="6" t="n">
        <v>7</v>
      </c>
      <c r="L29" s="6" t="n">
        <v>8</v>
      </c>
    </row>
    <row r="30" customFormat="false" ht="14.25" hidden="false" customHeight="false" outlineLevel="0" collapsed="false">
      <c r="A30" s="4" t="s">
        <v>17</v>
      </c>
      <c r="B30" s="8" t="s">
        <v>25</v>
      </c>
      <c r="C30" s="8"/>
      <c r="D30" s="6" t="n">
        <v>3</v>
      </c>
      <c r="E30" s="6" t="n">
        <v>4</v>
      </c>
      <c r="F30" s="6" t="n">
        <v>5</v>
      </c>
      <c r="G30" s="6" t="n">
        <v>4</v>
      </c>
      <c r="H30" s="6" t="n">
        <v>5</v>
      </c>
      <c r="I30" s="6" t="n">
        <v>6</v>
      </c>
      <c r="J30" s="6" t="n">
        <v>3</v>
      </c>
      <c r="K30" s="6" t="n">
        <v>4</v>
      </c>
      <c r="L30" s="6" t="n">
        <v>7</v>
      </c>
    </row>
    <row r="31" customFormat="false" ht="14.25" hidden="false" customHeight="false" outlineLevel="0" collapsed="false">
      <c r="A31" s="4" t="s">
        <v>17</v>
      </c>
      <c r="B31" s="8" t="s">
        <v>27</v>
      </c>
      <c r="C31" s="8"/>
      <c r="D31" s="6" t="n">
        <v>3</v>
      </c>
      <c r="E31" s="6" t="n">
        <v>4</v>
      </c>
      <c r="F31" s="6" t="n">
        <v>6</v>
      </c>
      <c r="G31" s="6" t="n">
        <v>4</v>
      </c>
      <c r="H31" s="6" t="n">
        <v>5</v>
      </c>
      <c r="I31" s="6" t="n">
        <v>6</v>
      </c>
      <c r="J31" s="6" t="n">
        <v>4</v>
      </c>
      <c r="K31" s="6" t="n">
        <v>5</v>
      </c>
      <c r="L31" s="6" t="n">
        <v>6</v>
      </c>
    </row>
    <row r="32" customFormat="false" ht="14.25" hidden="false" customHeight="false" outlineLevel="0" collapsed="false">
      <c r="A32" s="4" t="s">
        <v>17</v>
      </c>
      <c r="B32" s="8" t="s">
        <v>29</v>
      </c>
      <c r="C32" s="8"/>
      <c r="D32" s="6" t="n">
        <v>4</v>
      </c>
      <c r="E32" s="6" t="n">
        <v>5</v>
      </c>
      <c r="F32" s="6" t="n">
        <v>7</v>
      </c>
      <c r="G32" s="6" t="n">
        <v>5</v>
      </c>
      <c r="H32" s="6" t="n">
        <v>6</v>
      </c>
      <c r="I32" s="6" t="n">
        <v>7</v>
      </c>
      <c r="J32" s="6" t="n">
        <v>4</v>
      </c>
      <c r="K32" s="6" t="n">
        <v>6</v>
      </c>
      <c r="L32" s="6" t="n">
        <v>7</v>
      </c>
    </row>
    <row r="33" customFormat="false" ht="14.25" hidden="false" customHeight="false" outlineLevel="0" collapsed="false">
      <c r="A33" s="9" t="s">
        <v>19</v>
      </c>
      <c r="B33" s="10" t="s">
        <v>23</v>
      </c>
      <c r="C33" s="10"/>
      <c r="D33" s="11" t="n">
        <v>8</v>
      </c>
      <c r="E33" s="11" t="n">
        <v>9</v>
      </c>
      <c r="F33" s="11" t="n">
        <v>9</v>
      </c>
      <c r="G33" s="11" t="n">
        <v>7</v>
      </c>
      <c r="H33" s="11" t="n">
        <v>8</v>
      </c>
      <c r="I33" s="11" t="n">
        <v>9</v>
      </c>
      <c r="J33" s="11" t="n">
        <v>8</v>
      </c>
      <c r="K33" s="11" t="n">
        <v>9</v>
      </c>
      <c r="L33" s="11" t="n">
        <v>9</v>
      </c>
    </row>
    <row r="34" customFormat="false" ht="14.25" hidden="false" customHeight="false" outlineLevel="0" collapsed="false">
      <c r="A34" s="9" t="s">
        <v>19</v>
      </c>
      <c r="B34" s="10" t="s">
        <v>25</v>
      </c>
      <c r="C34" s="10"/>
      <c r="D34" s="11" t="n">
        <v>6</v>
      </c>
      <c r="E34" s="11" t="n">
        <v>7</v>
      </c>
      <c r="F34" s="11" t="n">
        <v>8</v>
      </c>
      <c r="G34" s="11" t="n">
        <v>7</v>
      </c>
      <c r="H34" s="11" t="n">
        <v>8</v>
      </c>
      <c r="I34" s="11" t="n">
        <v>9</v>
      </c>
      <c r="J34" s="11" t="n">
        <v>6</v>
      </c>
      <c r="K34" s="11" t="n">
        <v>7</v>
      </c>
      <c r="L34" s="11" t="n">
        <v>8</v>
      </c>
    </row>
    <row r="35" customFormat="false" ht="14.25" hidden="false" customHeight="false" outlineLevel="0" collapsed="false">
      <c r="A35" s="9" t="s">
        <v>19</v>
      </c>
      <c r="B35" s="10" t="s">
        <v>27</v>
      </c>
      <c r="C35" s="10"/>
      <c r="D35" s="11" t="n">
        <v>5</v>
      </c>
      <c r="E35" s="11" t="n">
        <v>6</v>
      </c>
      <c r="F35" s="11" t="n">
        <v>7</v>
      </c>
      <c r="G35" s="11" t="n">
        <v>5</v>
      </c>
      <c r="H35" s="11" t="n">
        <v>6</v>
      </c>
      <c r="I35" s="11" t="n">
        <v>8</v>
      </c>
      <c r="J35" s="11" t="n">
        <v>5</v>
      </c>
      <c r="K35" s="11" t="n">
        <v>6</v>
      </c>
      <c r="L35" s="11" t="n">
        <v>7</v>
      </c>
    </row>
    <row r="36" customFormat="false" ht="14.25" hidden="false" customHeight="false" outlineLevel="0" collapsed="false">
      <c r="A36" s="9" t="s">
        <v>19</v>
      </c>
      <c r="B36" s="10" t="s">
        <v>29</v>
      </c>
      <c r="C36" s="10"/>
      <c r="D36" s="11" t="n">
        <v>6</v>
      </c>
      <c r="E36" s="11" t="n">
        <v>7</v>
      </c>
      <c r="F36" s="11" t="n">
        <v>8</v>
      </c>
      <c r="G36" s="11" t="n">
        <v>6</v>
      </c>
      <c r="H36" s="11" t="n">
        <v>7</v>
      </c>
      <c r="I36" s="11" t="n">
        <v>8</v>
      </c>
      <c r="J36" s="11" t="n">
        <v>6</v>
      </c>
      <c r="K36" s="11" t="n">
        <v>7</v>
      </c>
      <c r="L36" s="11" t="n">
        <v>8</v>
      </c>
    </row>
  </sheetData>
  <mergeCells count="12">
    <mergeCell ref="A4:A5"/>
    <mergeCell ref="B4:B5"/>
    <mergeCell ref="C4:C5"/>
    <mergeCell ref="D4:F4"/>
    <mergeCell ref="G4:I4"/>
    <mergeCell ref="J4:L4"/>
    <mergeCell ref="A19:A20"/>
    <mergeCell ref="B19:B20"/>
    <mergeCell ref="C19:C20"/>
    <mergeCell ref="D19:F19"/>
    <mergeCell ref="G19:I19"/>
    <mergeCell ref="J19:L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false" showRowColHeaders="true" showZeros="true" rightToLeft="false" tabSelected="false" showOutlineSymbols="true" defaultGridColor="true" view="normal" topLeftCell="A29" colorId="64" zoomScale="100" zoomScaleNormal="100" zoomScalePageLayoutView="100" workbookViewId="0">
      <selection pane="topLeft" activeCell="C34" activeCellId="0" sqref="C34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  <col collapsed="false" customWidth="true" hidden="false" outlineLevel="0" max="4" min="4" style="0" width="20"/>
    <col collapsed="false" customWidth="true" hidden="false" outlineLevel="0" max="13" min="5" style="0" width="9"/>
  </cols>
  <sheetData>
    <row r="1" customFormat="false" ht="15" hidden="false" customHeight="false" outlineLevel="0" collapsed="false">
      <c r="A1" s="1" t="s">
        <v>33</v>
      </c>
    </row>
    <row r="2" customFormat="false" ht="14.2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" t="s">
        <v>35</v>
      </c>
    </row>
    <row r="5" customFormat="false" ht="23.85" hidden="false" customHeight="false" outlineLevel="0" collapsed="false">
      <c r="A5" s="3" t="s">
        <v>3</v>
      </c>
      <c r="B5" s="3" t="s">
        <v>36</v>
      </c>
      <c r="C5" s="3" t="s">
        <v>37</v>
      </c>
      <c r="D5" s="3" t="s">
        <v>38</v>
      </c>
      <c r="E5" s="3" t="s">
        <v>39</v>
      </c>
      <c r="F5" s="3" t="s">
        <v>40</v>
      </c>
      <c r="G5" s="3" t="s">
        <v>41</v>
      </c>
      <c r="H5" s="3" t="s">
        <v>42</v>
      </c>
      <c r="I5" s="3" t="s">
        <v>43</v>
      </c>
    </row>
    <row r="6" customFormat="false" ht="14.25" hidden="false" customHeight="false" outlineLevel="0" collapsed="false">
      <c r="A6" s="4" t="s">
        <v>11</v>
      </c>
      <c r="B6" s="13" t="n">
        <f aca="false">MIN(Оценки!D6,Оценки!G6,Оценки!J6)</f>
        <v>5</v>
      </c>
      <c r="C6" s="13" t="n">
        <f aca="false">AVERAGE(Оценки!E6,Оценки!H6,Оценки!K6)</f>
        <v>6.66666666666667</v>
      </c>
      <c r="D6" s="13" t="n">
        <f aca="false">MAX(Оценки!F6,Оценки!I6,Оценки!L6)</f>
        <v>9</v>
      </c>
      <c r="E6" s="14" t="n">
        <v>1</v>
      </c>
      <c r="F6" s="13" t="n">
        <f aca="false">D6*E6</f>
        <v>9</v>
      </c>
      <c r="G6" s="13" t="n">
        <f aca="false">B6*$E6/MAX($F$6:$F$9)</f>
        <v>0.555555555555556</v>
      </c>
      <c r="H6" s="13" t="n">
        <f aca="false">C6*$E6/MAX($F$6:$F$9)</f>
        <v>0.740740740740741</v>
      </c>
      <c r="I6" s="13" t="n">
        <f aca="false">D6*$E6/MAX($F$6:$F$9)</f>
        <v>1</v>
      </c>
    </row>
    <row r="7" customFormat="false" ht="14.25" hidden="false" customHeight="false" outlineLevel="0" collapsed="false">
      <c r="A7" s="4" t="s">
        <v>14</v>
      </c>
      <c r="B7" s="13" t="n">
        <f aca="false">MIN(Оценки!D7,Оценки!G7,Оценки!J7)</f>
        <v>5</v>
      </c>
      <c r="C7" s="13" t="n">
        <f aca="false">AVERAGE(Оценки!E7,Оценки!H7,Оценки!K7)</f>
        <v>8</v>
      </c>
      <c r="D7" s="13" t="n">
        <f aca="false">MAX(Оценки!F7,Оценки!I7,Оценки!L7)</f>
        <v>9</v>
      </c>
      <c r="E7" s="14" t="n">
        <v>1</v>
      </c>
      <c r="F7" s="13" t="n">
        <f aca="false">D7*E7</f>
        <v>9</v>
      </c>
      <c r="G7" s="13" t="n">
        <f aca="false">B7*$E7/MAX($F$6:$F$9)</f>
        <v>0.555555555555556</v>
      </c>
      <c r="H7" s="13" t="n">
        <f aca="false">C7*$E7/MAX($F$6:$F$9)</f>
        <v>0.888888888888889</v>
      </c>
      <c r="I7" s="13" t="n">
        <f aca="false">D7*$E7/MAX($F$6:$F$9)</f>
        <v>1</v>
      </c>
    </row>
    <row r="8" customFormat="false" ht="14.25" hidden="false" customHeight="false" outlineLevel="0" collapsed="false">
      <c r="A8" s="4" t="s">
        <v>17</v>
      </c>
      <c r="B8" s="13" t="n">
        <f aca="false">MIN(Оценки!D8,Оценки!G8,Оценки!J8)</f>
        <v>3</v>
      </c>
      <c r="C8" s="13" t="n">
        <f aca="false">AVERAGE(Оценки!E8,Оценки!H8,Оценки!K8)</f>
        <v>5.33333333333333</v>
      </c>
      <c r="D8" s="13" t="n">
        <f aca="false">MAX(Оценки!F8,Оценки!I8,Оценки!L8)</f>
        <v>8</v>
      </c>
      <c r="E8" s="14" t="n">
        <v>1</v>
      </c>
      <c r="F8" s="13" t="n">
        <f aca="false">D8*E8</f>
        <v>8</v>
      </c>
      <c r="G8" s="13" t="n">
        <f aca="false">B8*$E8/MAX($F$6:$F$9)</f>
        <v>0.333333333333333</v>
      </c>
      <c r="H8" s="13" t="n">
        <f aca="false">C8*$E8/MAX($F$6:$F$9)</f>
        <v>0.592592592592593</v>
      </c>
      <c r="I8" s="13" t="n">
        <f aca="false">D8*$E8/MAX($F$6:$F$9)</f>
        <v>0.888888888888889</v>
      </c>
    </row>
    <row r="9" customFormat="false" ht="14.25" hidden="false" customHeight="false" outlineLevel="0" collapsed="false">
      <c r="A9" s="4" t="s">
        <v>19</v>
      </c>
      <c r="B9" s="13" t="n">
        <f aca="false">MIN(Оценки!D9,Оценки!G9,Оценки!J9)</f>
        <v>6</v>
      </c>
      <c r="C9" s="13" t="n">
        <f aca="false">AVERAGE(Оценки!E9,Оценки!H9,Оценки!K9)</f>
        <v>7.66666666666667</v>
      </c>
      <c r="D9" s="13" t="n">
        <f aca="false">MAX(Оценки!F9,Оценки!I9,Оценки!L9)</f>
        <v>9</v>
      </c>
      <c r="E9" s="14" t="n">
        <v>1</v>
      </c>
      <c r="F9" s="13" t="n">
        <f aca="false">D9*E9</f>
        <v>9</v>
      </c>
      <c r="G9" s="13" t="n">
        <f aca="false">B9*$E9/MAX($F$6:$F$9)</f>
        <v>0.666666666666667</v>
      </c>
      <c r="H9" s="13" t="n">
        <f aca="false">C9*$E9/MAX($F$6:$F$9)</f>
        <v>0.851851851851852</v>
      </c>
      <c r="I9" s="13" t="n">
        <f aca="false">D9*$E9/MAX($F$6:$F$9)</f>
        <v>1</v>
      </c>
    </row>
    <row r="10" customFormat="false" ht="14.25" hidden="false" customHeight="false" outlineLevel="0" collapsed="false">
      <c r="A10" s="2" t="s">
        <v>44</v>
      </c>
    </row>
    <row r="11" customFormat="false" ht="15" hidden="false" customHeight="false" outlineLevel="0" collapsed="false">
      <c r="A11" s="1" t="s">
        <v>45</v>
      </c>
    </row>
    <row r="12" customFormat="false" ht="14.25" hidden="false" customHeight="true" outlineLevel="0" collapsed="false">
      <c r="A12" s="3" t="s">
        <v>46</v>
      </c>
      <c r="B12" s="3" t="s">
        <v>11</v>
      </c>
      <c r="C12" s="3"/>
      <c r="D12" s="3"/>
      <c r="E12" s="3" t="s">
        <v>14</v>
      </c>
      <c r="F12" s="3"/>
      <c r="G12" s="3"/>
      <c r="H12" s="3" t="s">
        <v>17</v>
      </c>
      <c r="I12" s="3"/>
      <c r="J12" s="3"/>
      <c r="K12" s="3" t="s">
        <v>19</v>
      </c>
      <c r="L12" s="3"/>
      <c r="M12" s="3"/>
    </row>
    <row r="13" customFormat="false" ht="14.25" hidden="false" customHeight="false" outlineLevel="0" collapsed="false">
      <c r="A13" s="3"/>
      <c r="B13" s="3" t="s">
        <v>36</v>
      </c>
      <c r="C13" s="3" t="s">
        <v>37</v>
      </c>
      <c r="D13" s="3" t="s">
        <v>38</v>
      </c>
      <c r="E13" s="3" t="s">
        <v>36</v>
      </c>
      <c r="F13" s="3" t="s">
        <v>37</v>
      </c>
      <c r="G13" s="3" t="s">
        <v>38</v>
      </c>
      <c r="H13" s="3" t="s">
        <v>36</v>
      </c>
      <c r="I13" s="3" t="s">
        <v>37</v>
      </c>
      <c r="J13" s="3" t="s">
        <v>38</v>
      </c>
      <c r="K13" s="3" t="s">
        <v>36</v>
      </c>
      <c r="L13" s="3" t="s">
        <v>37</v>
      </c>
      <c r="M13" s="3" t="s">
        <v>38</v>
      </c>
    </row>
    <row r="14" customFormat="false" ht="14.25" hidden="false" customHeight="false" outlineLevel="0" collapsed="false">
      <c r="A14" s="4" t="s">
        <v>23</v>
      </c>
      <c r="B14" s="13" t="n">
        <f aca="false">MIN(Оценки!D21,Оценки!G21,Оценки!J21)</f>
        <v>4</v>
      </c>
      <c r="C14" s="13" t="n">
        <f aca="false">AVERAGE(Оценки!E21,Оценки!H21,Оценки!K21)</f>
        <v>5.66666666666667</v>
      </c>
      <c r="D14" s="13" t="n">
        <f aca="false">MAX(Оценки!F21,Оценки!I21,Оценки!L21)</f>
        <v>8</v>
      </c>
      <c r="E14" s="13" t="n">
        <f aca="false">MIN(Оценки!D25,Оценки!G25,Оценки!J25)</f>
        <v>7</v>
      </c>
      <c r="F14" s="13" t="n">
        <f aca="false">AVERAGE(Оценки!E25,Оценки!H25,Оценки!K25)</f>
        <v>8.66666666666667</v>
      </c>
      <c r="G14" s="13" t="n">
        <f aca="false">MAX(Оценки!F25,Оценки!I25,Оценки!L25)</f>
        <v>9</v>
      </c>
      <c r="H14" s="13" t="n">
        <f aca="false">MIN(Оценки!D29,Оценки!G29,Оценки!J29)</f>
        <v>5</v>
      </c>
      <c r="I14" s="13" t="n">
        <f aca="false">AVERAGE(Оценки!E29,Оценки!H29,Оценки!K29)</f>
        <v>6.66666666666667</v>
      </c>
      <c r="J14" s="13" t="n">
        <f aca="false">MAX(Оценки!F29,Оценки!I29,Оценки!L29)</f>
        <v>8</v>
      </c>
      <c r="K14" s="13" t="n">
        <f aca="false">MIN(Оценки!D33,Оценки!G33,Оценки!J33)</f>
        <v>7</v>
      </c>
      <c r="L14" s="13" t="n">
        <f aca="false">AVERAGE(Оценки!E33,Оценки!H33,Оценки!K33)</f>
        <v>8.66666666666667</v>
      </c>
      <c r="M14" s="13" t="n">
        <f aca="false">MAX(Оценки!F33,Оценки!I33,Оценки!L33)</f>
        <v>9</v>
      </c>
    </row>
    <row r="15" customFormat="false" ht="14.25" hidden="false" customHeight="false" outlineLevel="0" collapsed="false">
      <c r="A15" s="4" t="s">
        <v>25</v>
      </c>
      <c r="B15" s="13" t="n">
        <f aca="false">MIN(Оценки!D22,Оценки!G22,Оценки!J22)</f>
        <v>3</v>
      </c>
      <c r="C15" s="13" t="n">
        <f aca="false">AVERAGE(Оценки!E22,Оценки!H22,Оценки!K22)</f>
        <v>5</v>
      </c>
      <c r="D15" s="13" t="n">
        <f aca="false">MAX(Оценки!F22,Оценки!I22,Оценки!L22)</f>
        <v>6</v>
      </c>
      <c r="E15" s="13" t="n">
        <f aca="false">MIN(Оценки!D26,Оценки!G26,Оценки!J26)</f>
        <v>3</v>
      </c>
      <c r="F15" s="13" t="n">
        <f aca="false">AVERAGE(Оценки!E26,Оценки!H26,Оценки!K26)</f>
        <v>5</v>
      </c>
      <c r="G15" s="13" t="n">
        <f aca="false">MAX(Оценки!F26,Оценки!I26,Оценки!L26)</f>
        <v>7</v>
      </c>
      <c r="H15" s="13" t="n">
        <f aca="false">MIN(Оценки!D30,Оценки!G30,Оценки!J30)</f>
        <v>3</v>
      </c>
      <c r="I15" s="13" t="n">
        <f aca="false">AVERAGE(Оценки!E30,Оценки!H30,Оценки!K30)</f>
        <v>4.33333333333333</v>
      </c>
      <c r="J15" s="13" t="n">
        <f aca="false">MAX(Оценки!F30,Оценки!I30,Оценки!L30)</f>
        <v>7</v>
      </c>
      <c r="K15" s="13" t="n">
        <f aca="false">MIN(Оценки!D34,Оценки!G34,Оценки!J34)</f>
        <v>6</v>
      </c>
      <c r="L15" s="13" t="n">
        <f aca="false">AVERAGE(Оценки!E34,Оценки!H34,Оценки!K34)</f>
        <v>7.33333333333333</v>
      </c>
      <c r="M15" s="13" t="n">
        <f aca="false">MAX(Оценки!F34,Оценки!I34,Оценки!L34)</f>
        <v>9</v>
      </c>
    </row>
    <row r="16" customFormat="false" ht="14.25" hidden="false" customHeight="false" outlineLevel="0" collapsed="false">
      <c r="A16" s="4" t="s">
        <v>27</v>
      </c>
      <c r="B16" s="13" t="n">
        <f aca="false">MIN(Оценки!D23,Оценки!G23,Оценки!J23)</f>
        <v>2</v>
      </c>
      <c r="C16" s="13" t="n">
        <f aca="false">AVERAGE(Оценки!E23,Оценки!H23,Оценки!K23)</f>
        <v>2.66666666666667</v>
      </c>
      <c r="D16" s="13" t="n">
        <f aca="false">MAX(Оценки!F23,Оценки!I23,Оценки!L23)</f>
        <v>5</v>
      </c>
      <c r="E16" s="13" t="n">
        <f aca="false">MIN(Оценки!D27,Оценки!G27,Оценки!J27)</f>
        <v>4</v>
      </c>
      <c r="F16" s="13" t="n">
        <f aca="false">AVERAGE(Оценки!E27,Оценки!H27,Оценки!K27)</f>
        <v>5.66666666666667</v>
      </c>
      <c r="G16" s="13" t="n">
        <f aca="false">MAX(Оценки!F27,Оценки!I27,Оценки!L27)</f>
        <v>8</v>
      </c>
      <c r="H16" s="13" t="n">
        <f aca="false">MIN(Оценки!D31,Оценки!G31,Оценки!J31)</f>
        <v>3</v>
      </c>
      <c r="I16" s="13" t="n">
        <f aca="false">AVERAGE(Оценки!E31,Оценки!H31,Оценки!K31)</f>
        <v>4.66666666666667</v>
      </c>
      <c r="J16" s="13" t="n">
        <f aca="false">MAX(Оценки!F31,Оценки!I31,Оценки!L31)</f>
        <v>6</v>
      </c>
      <c r="K16" s="13" t="n">
        <f aca="false">MIN(Оценки!D35,Оценки!G35,Оценки!J35)</f>
        <v>5</v>
      </c>
      <c r="L16" s="13" t="n">
        <f aca="false">AVERAGE(Оценки!E35,Оценки!H35,Оценки!K35)</f>
        <v>6</v>
      </c>
      <c r="M16" s="13" t="n">
        <f aca="false">MAX(Оценки!F35,Оценки!I35,Оценки!L35)</f>
        <v>8</v>
      </c>
    </row>
    <row r="17" customFormat="false" ht="14.25" hidden="false" customHeight="false" outlineLevel="0" collapsed="false">
      <c r="A17" s="4" t="s">
        <v>29</v>
      </c>
      <c r="B17" s="13" t="n">
        <f aca="false">MIN(Оценки!D24,Оценки!G24,Оценки!J24)</f>
        <v>1</v>
      </c>
      <c r="C17" s="13" t="n">
        <f aca="false">AVERAGE(Оценки!E24,Оценки!H24,Оценки!K24)</f>
        <v>2.33333333333333</v>
      </c>
      <c r="D17" s="13" t="n">
        <f aca="false">MAX(Оценки!F24,Оценки!I24,Оценки!L24)</f>
        <v>4</v>
      </c>
      <c r="E17" s="13" t="n">
        <f aca="false">MIN(Оценки!D28,Оценки!G28,Оценки!J28)</f>
        <v>3</v>
      </c>
      <c r="F17" s="13" t="n">
        <f aca="false">AVERAGE(Оценки!E28,Оценки!H28,Оценки!K28)</f>
        <v>4.66666666666667</v>
      </c>
      <c r="G17" s="13" t="n">
        <f aca="false">MAX(Оценки!F28,Оценки!I28,Оценки!L28)</f>
        <v>6</v>
      </c>
      <c r="H17" s="13" t="n">
        <f aca="false">MIN(Оценки!D32,Оценки!G32,Оценки!J32)</f>
        <v>4</v>
      </c>
      <c r="I17" s="13" t="n">
        <f aca="false">AVERAGE(Оценки!E32,Оценки!H32,Оценки!K32)</f>
        <v>5.66666666666667</v>
      </c>
      <c r="J17" s="13" t="n">
        <f aca="false">MAX(Оценки!F32,Оценки!I32,Оценки!L32)</f>
        <v>7</v>
      </c>
      <c r="K17" s="13" t="n">
        <f aca="false">MIN(Оценки!D36,Оценки!G36,Оценки!J36)</f>
        <v>6</v>
      </c>
      <c r="L17" s="13" t="n">
        <f aca="false">AVERAGE(Оценки!E36,Оценки!H36,Оценки!K36)</f>
        <v>7</v>
      </c>
      <c r="M17" s="13" t="n">
        <f aca="false">MAX(Оценки!F36,Оценки!I36,Оценки!L36)</f>
        <v>8</v>
      </c>
    </row>
    <row r="21" customFormat="false" ht="15" hidden="false" customHeight="false" outlineLevel="0" collapsed="false">
      <c r="A21" s="1" t="s">
        <v>47</v>
      </c>
    </row>
    <row r="22" customFormat="false" ht="14.25" hidden="false" customHeight="true" outlineLevel="0" collapsed="false">
      <c r="A22" s="3" t="s">
        <v>46</v>
      </c>
      <c r="B22" s="3" t="s">
        <v>11</v>
      </c>
      <c r="C22" s="3"/>
      <c r="D22" s="3"/>
      <c r="E22" s="3" t="s">
        <v>14</v>
      </c>
      <c r="F22" s="3"/>
      <c r="G22" s="3"/>
      <c r="H22" s="3" t="s">
        <v>17</v>
      </c>
      <c r="I22" s="3"/>
      <c r="J22" s="3"/>
      <c r="K22" s="3" t="s">
        <v>19</v>
      </c>
      <c r="L22" s="3"/>
      <c r="M22" s="3"/>
    </row>
    <row r="23" customFormat="false" ht="14.25" hidden="false" customHeight="false" outlineLevel="0" collapsed="false">
      <c r="A23" s="3"/>
      <c r="B23" s="3" t="s">
        <v>36</v>
      </c>
      <c r="C23" s="3" t="s">
        <v>37</v>
      </c>
      <c r="D23" s="3" t="s">
        <v>38</v>
      </c>
      <c r="E23" s="3" t="s">
        <v>36</v>
      </c>
      <c r="F23" s="3" t="s">
        <v>37</v>
      </c>
      <c r="G23" s="3" t="s">
        <v>38</v>
      </c>
      <c r="H23" s="3" t="s">
        <v>36</v>
      </c>
      <c r="I23" s="3" t="s">
        <v>37</v>
      </c>
      <c r="J23" s="3" t="s">
        <v>38</v>
      </c>
      <c r="K23" s="3" t="s">
        <v>36</v>
      </c>
      <c r="L23" s="3" t="s">
        <v>37</v>
      </c>
      <c r="M23" s="3" t="s">
        <v>38</v>
      </c>
    </row>
    <row r="24" customFormat="false" ht="14.25" hidden="false" customHeight="false" outlineLevel="0" collapsed="false">
      <c r="A24" s="4" t="s">
        <v>23</v>
      </c>
      <c r="B24" s="13" t="n">
        <f aca="false">MIN(B$14:B$17)/D14</f>
        <v>0.125</v>
      </c>
      <c r="C24" s="13" t="n">
        <f aca="false">MIN(B$14:B$17)/C14</f>
        <v>0.176470588235294</v>
      </c>
      <c r="D24" s="13" t="n">
        <f aca="false">MIN(B$14:B$17)/B14</f>
        <v>0.25</v>
      </c>
      <c r="E24" s="13" t="n">
        <f aca="false">E14/MAX(G$14:G$17)</f>
        <v>0.777777777777778</v>
      </c>
      <c r="F24" s="13" t="n">
        <f aca="false">F14/MAX(G$14:G$17)</f>
        <v>0.962962962962963</v>
      </c>
      <c r="G24" s="13" t="n">
        <f aca="false">G14/MAX(G$14:G$17)</f>
        <v>1</v>
      </c>
      <c r="H24" s="13" t="n">
        <f aca="false">H14/MAX(J$14:J$17)</f>
        <v>0.625</v>
      </c>
      <c r="I24" s="13" t="n">
        <f aca="false">I14/MAX(J$14:J$17)</f>
        <v>0.833333333333333</v>
      </c>
      <c r="J24" s="13" t="n">
        <f aca="false">J14/MAX(J$14:J$17)</f>
        <v>1</v>
      </c>
      <c r="K24" s="13" t="n">
        <f aca="false">K14/MAX(M$14:M$17)</f>
        <v>0.777777777777778</v>
      </c>
      <c r="L24" s="13" t="n">
        <f aca="false">L14/MAX(M$14:M$17)</f>
        <v>0.962962962962963</v>
      </c>
      <c r="M24" s="13" t="n">
        <f aca="false">M14/MAX(M$14:M$17)</f>
        <v>1</v>
      </c>
    </row>
    <row r="25" customFormat="false" ht="14.25" hidden="false" customHeight="false" outlineLevel="0" collapsed="false">
      <c r="A25" s="4" t="s">
        <v>25</v>
      </c>
      <c r="B25" s="13" t="n">
        <f aca="false">MIN(B$14:B$17)/D15</f>
        <v>0.166666666666667</v>
      </c>
      <c r="C25" s="13" t="n">
        <f aca="false">MIN(B$14:B$17)/C15</f>
        <v>0.2</v>
      </c>
      <c r="D25" s="13" t="n">
        <f aca="false">MIN(B$14:B$17)/B15</f>
        <v>0.333333333333333</v>
      </c>
      <c r="E25" s="13" t="n">
        <f aca="false">E15/MAX(G$14:G$17)</f>
        <v>0.333333333333333</v>
      </c>
      <c r="F25" s="13" t="n">
        <f aca="false">F15/MAX(G$14:G$17)</f>
        <v>0.555555555555556</v>
      </c>
      <c r="G25" s="13" t="n">
        <f aca="false">G15/MAX(G$14:G$17)</f>
        <v>0.777777777777778</v>
      </c>
      <c r="H25" s="13" t="n">
        <f aca="false">H15/MAX(J$14:J$17)</f>
        <v>0.375</v>
      </c>
      <c r="I25" s="13" t="n">
        <f aca="false">I15/MAX(J$14:J$17)</f>
        <v>0.541666666666667</v>
      </c>
      <c r="J25" s="13" t="n">
        <f aca="false">J15/MAX(J$14:J$17)</f>
        <v>0.875</v>
      </c>
      <c r="K25" s="13" t="n">
        <f aca="false">K15/MAX(M$14:M$17)</f>
        <v>0.666666666666667</v>
      </c>
      <c r="L25" s="13" t="n">
        <f aca="false">L15/MAX(M$14:M$17)</f>
        <v>0.814814814814815</v>
      </c>
      <c r="M25" s="13" t="n">
        <f aca="false">M15/MAX(M$14:M$17)</f>
        <v>1</v>
      </c>
    </row>
    <row r="26" customFormat="false" ht="14.25" hidden="false" customHeight="false" outlineLevel="0" collapsed="false">
      <c r="A26" s="4" t="s">
        <v>27</v>
      </c>
      <c r="B26" s="13" t="n">
        <f aca="false">MIN(B$14:B$17)/D16</f>
        <v>0.2</v>
      </c>
      <c r="C26" s="13" t="n">
        <f aca="false">MIN(B$14:B$17)/C16</f>
        <v>0.375</v>
      </c>
      <c r="D26" s="13" t="n">
        <f aca="false">MIN(B$14:B$17)/B16</f>
        <v>0.5</v>
      </c>
      <c r="E26" s="13" t="n">
        <f aca="false">E16/MAX(G$14:G$17)</f>
        <v>0.444444444444444</v>
      </c>
      <c r="F26" s="13" t="n">
        <f aca="false">F16/MAX(G$14:G$17)</f>
        <v>0.62962962962963</v>
      </c>
      <c r="G26" s="13" t="n">
        <f aca="false">G16/MAX(G$14:G$17)</f>
        <v>0.888888888888889</v>
      </c>
      <c r="H26" s="13" t="n">
        <f aca="false">H16/MAX(J$14:J$17)</f>
        <v>0.375</v>
      </c>
      <c r="I26" s="13" t="n">
        <f aca="false">I16/MAX(J$14:J$17)</f>
        <v>0.583333333333333</v>
      </c>
      <c r="J26" s="13" t="n">
        <f aca="false">J16/MAX(J$14:J$17)</f>
        <v>0.75</v>
      </c>
      <c r="K26" s="13" t="n">
        <f aca="false">K16/MAX(M$14:M$17)</f>
        <v>0.555555555555556</v>
      </c>
      <c r="L26" s="13" t="n">
        <f aca="false">L16/MAX(M$14:M$17)</f>
        <v>0.666666666666667</v>
      </c>
      <c r="M26" s="13" t="n">
        <f aca="false">M16/MAX(M$14:M$17)</f>
        <v>0.888888888888889</v>
      </c>
    </row>
    <row r="27" customFormat="false" ht="14.25" hidden="false" customHeight="false" outlineLevel="0" collapsed="false">
      <c r="A27" s="4" t="s">
        <v>29</v>
      </c>
      <c r="B27" s="13" t="n">
        <f aca="false">MIN(B$14:B$17)/D17</f>
        <v>0.25</v>
      </c>
      <c r="C27" s="13" t="n">
        <f aca="false">MIN(B$14:B$17)/C17</f>
        <v>0.428571428571429</v>
      </c>
      <c r="D27" s="13" t="n">
        <f aca="false">MIN(B$14:B$17)/B17</f>
        <v>1</v>
      </c>
      <c r="E27" s="13" t="n">
        <f aca="false">E17/MAX(G$14:G$17)</f>
        <v>0.333333333333333</v>
      </c>
      <c r="F27" s="13" t="n">
        <f aca="false">F17/MAX(G$14:G$17)</f>
        <v>0.518518518518519</v>
      </c>
      <c r="G27" s="13" t="n">
        <f aca="false">G17/MAX(G$14:G$17)</f>
        <v>0.666666666666667</v>
      </c>
      <c r="H27" s="13" t="n">
        <f aca="false">H17/MAX(J$14:J$17)</f>
        <v>0.5</v>
      </c>
      <c r="I27" s="13" t="n">
        <f aca="false">I17/MAX(J$14:J$17)</f>
        <v>0.708333333333333</v>
      </c>
      <c r="J27" s="13" t="n">
        <f aca="false">J17/MAX(J$14:J$17)</f>
        <v>0.875</v>
      </c>
      <c r="K27" s="13" t="n">
        <f aca="false">K17/MAX(M$14:M$17)</f>
        <v>0.666666666666667</v>
      </c>
      <c r="L27" s="13" t="n">
        <f aca="false">L17/MAX(M$14:M$17)</f>
        <v>0.777777777777778</v>
      </c>
      <c r="M27" s="13" t="n">
        <f aca="false">M17/MAX(M$14:M$17)</f>
        <v>0.888888888888889</v>
      </c>
    </row>
    <row r="31" customFormat="false" ht="15" hidden="false" customHeight="false" outlineLevel="0" collapsed="false">
      <c r="A31" s="1" t="s">
        <v>48</v>
      </c>
    </row>
    <row r="32" customFormat="false" ht="14.25" hidden="false" customHeight="true" outlineLevel="0" collapsed="false">
      <c r="A32" s="3" t="s">
        <v>46</v>
      </c>
      <c r="B32" s="3" t="s">
        <v>11</v>
      </c>
      <c r="C32" s="3"/>
      <c r="D32" s="3"/>
      <c r="E32" s="3" t="s">
        <v>14</v>
      </c>
      <c r="F32" s="3"/>
      <c r="G32" s="3"/>
      <c r="H32" s="3" t="s">
        <v>17</v>
      </c>
      <c r="I32" s="3"/>
      <c r="J32" s="3"/>
      <c r="K32" s="3" t="s">
        <v>19</v>
      </c>
      <c r="L32" s="3"/>
      <c r="M32" s="3"/>
    </row>
    <row r="33" customFormat="false" ht="14.25" hidden="false" customHeight="false" outlineLevel="0" collapsed="false">
      <c r="A33" s="3"/>
      <c r="B33" s="3" t="s">
        <v>36</v>
      </c>
      <c r="C33" s="3" t="s">
        <v>37</v>
      </c>
      <c r="D33" s="3" t="s">
        <v>38</v>
      </c>
      <c r="E33" s="3" t="s">
        <v>36</v>
      </c>
      <c r="F33" s="3" t="s">
        <v>37</v>
      </c>
      <c r="G33" s="3" t="s">
        <v>38</v>
      </c>
      <c r="H33" s="3" t="s">
        <v>36</v>
      </c>
      <c r="I33" s="3" t="s">
        <v>37</v>
      </c>
      <c r="J33" s="3" t="s">
        <v>38</v>
      </c>
      <c r="K33" s="3" t="s">
        <v>36</v>
      </c>
      <c r="L33" s="3" t="s">
        <v>37</v>
      </c>
      <c r="M33" s="3" t="s">
        <v>38</v>
      </c>
    </row>
    <row r="34" customFormat="false" ht="14.25" hidden="false" customHeight="false" outlineLevel="0" collapsed="false">
      <c r="A34" s="4" t="s">
        <v>23</v>
      </c>
      <c r="B34" s="13" t="n">
        <f aca="false">B24*$G$6</f>
        <v>0.0694444444444445</v>
      </c>
      <c r="C34" s="13" t="n">
        <f aca="false">C24*$H$6</f>
        <v>0.130718954248366</v>
      </c>
      <c r="D34" s="13" t="n">
        <f aca="false">D24*$I$6</f>
        <v>0.25</v>
      </c>
      <c r="E34" s="13" t="n">
        <f aca="false">E24*$G$7</f>
        <v>0.432098765432099</v>
      </c>
      <c r="F34" s="13" t="n">
        <f aca="false">F24*$H$7</f>
        <v>0.8559670781893</v>
      </c>
      <c r="G34" s="13" t="n">
        <f aca="false">G24*$I$7</f>
        <v>1</v>
      </c>
      <c r="H34" s="13" t="n">
        <f aca="false">H24*$G$8</f>
        <v>0.208333333333333</v>
      </c>
      <c r="I34" s="13" t="n">
        <f aca="false">I24*$H$8</f>
        <v>0.493827160493827</v>
      </c>
      <c r="J34" s="13" t="n">
        <f aca="false">J24*$I$8</f>
        <v>0.888888888888889</v>
      </c>
      <c r="K34" s="13" t="n">
        <f aca="false">K24*$G$9</f>
        <v>0.518518518518519</v>
      </c>
      <c r="L34" s="13" t="n">
        <f aca="false">L24*$H$9</f>
        <v>0.820301783264746</v>
      </c>
      <c r="M34" s="13" t="n">
        <f aca="false">M24*$I$9</f>
        <v>1</v>
      </c>
    </row>
    <row r="35" customFormat="false" ht="14.25" hidden="false" customHeight="false" outlineLevel="0" collapsed="false">
      <c r="A35" s="4" t="s">
        <v>25</v>
      </c>
      <c r="B35" s="13" t="n">
        <f aca="false">B25*$G$6</f>
        <v>0.0925925925925926</v>
      </c>
      <c r="C35" s="13" t="n">
        <f aca="false">C25*$H$6</f>
        <v>0.148148148148148</v>
      </c>
      <c r="D35" s="13" t="n">
        <f aca="false">D25*$I$6</f>
        <v>0.333333333333333</v>
      </c>
      <c r="E35" s="13" t="n">
        <f aca="false">E25*$G$7</f>
        <v>0.185185185185185</v>
      </c>
      <c r="F35" s="13" t="n">
        <f aca="false">F25*$H$7</f>
        <v>0.493827160493827</v>
      </c>
      <c r="G35" s="13" t="n">
        <f aca="false">G25*$I$7</f>
        <v>0.777777777777778</v>
      </c>
      <c r="H35" s="13" t="n">
        <f aca="false">H25*$G$8</f>
        <v>0.125</v>
      </c>
      <c r="I35" s="13" t="n">
        <f aca="false">I25*$H$8</f>
        <v>0.320987654320988</v>
      </c>
      <c r="J35" s="13" t="n">
        <f aca="false">J25*$I$8</f>
        <v>0.777777777777778</v>
      </c>
      <c r="K35" s="13" t="n">
        <f aca="false">K25*$G$9</f>
        <v>0.444444444444444</v>
      </c>
      <c r="L35" s="13" t="n">
        <f aca="false">L25*$H$9</f>
        <v>0.694101508916324</v>
      </c>
      <c r="M35" s="13" t="n">
        <f aca="false">M25*$I$9</f>
        <v>1</v>
      </c>
    </row>
    <row r="36" customFormat="false" ht="14.25" hidden="false" customHeight="false" outlineLevel="0" collapsed="false">
      <c r="A36" s="4" t="s">
        <v>27</v>
      </c>
      <c r="B36" s="13" t="n">
        <f aca="false">B26*$G$6</f>
        <v>0.111111111111111</v>
      </c>
      <c r="C36" s="13" t="n">
        <f aca="false">C26*$H$6</f>
        <v>0.277777777777778</v>
      </c>
      <c r="D36" s="13" t="n">
        <f aca="false">D26*$I$6</f>
        <v>0.5</v>
      </c>
      <c r="E36" s="13" t="n">
        <f aca="false">E26*$G$7</f>
        <v>0.246913580246914</v>
      </c>
      <c r="F36" s="13" t="n">
        <f aca="false">F26*$H$7</f>
        <v>0.559670781893004</v>
      </c>
      <c r="G36" s="13" t="n">
        <f aca="false">G26*$I$7</f>
        <v>0.888888888888889</v>
      </c>
      <c r="H36" s="13" t="n">
        <f aca="false">H26*$G$8</f>
        <v>0.125</v>
      </c>
      <c r="I36" s="13" t="n">
        <f aca="false">I26*$H$8</f>
        <v>0.345679012345679</v>
      </c>
      <c r="J36" s="13" t="n">
        <f aca="false">J26*$I$8</f>
        <v>0.666666666666667</v>
      </c>
      <c r="K36" s="13" t="n">
        <f aca="false">K26*$G$9</f>
        <v>0.37037037037037</v>
      </c>
      <c r="L36" s="13" t="n">
        <f aca="false">L26*$H$9</f>
        <v>0.567901234567901</v>
      </c>
      <c r="M36" s="13" t="n">
        <f aca="false">M26*$I$9</f>
        <v>0.888888888888889</v>
      </c>
    </row>
    <row r="37" customFormat="false" ht="14.25" hidden="false" customHeight="false" outlineLevel="0" collapsed="false">
      <c r="A37" s="4" t="s">
        <v>29</v>
      </c>
      <c r="B37" s="13" t="n">
        <f aca="false">B27*$G$6</f>
        <v>0.138888888888889</v>
      </c>
      <c r="C37" s="13" t="n">
        <f aca="false">C27*$H$6</f>
        <v>0.317460317460318</v>
      </c>
      <c r="D37" s="13" t="n">
        <f aca="false">D27*$I$6</f>
        <v>1</v>
      </c>
      <c r="E37" s="13" t="n">
        <f aca="false">E27*$G$7</f>
        <v>0.185185185185185</v>
      </c>
      <c r="F37" s="13" t="n">
        <f aca="false">F27*$H$7</f>
        <v>0.460905349794239</v>
      </c>
      <c r="G37" s="13" t="n">
        <f aca="false">G27*$I$7</f>
        <v>0.666666666666667</v>
      </c>
      <c r="H37" s="13" t="n">
        <f aca="false">H27*$G$8</f>
        <v>0.166666666666667</v>
      </c>
      <c r="I37" s="13" t="n">
        <f aca="false">I27*$H$8</f>
        <v>0.419753086419753</v>
      </c>
      <c r="J37" s="13" t="n">
        <f aca="false">J27*$I$8</f>
        <v>0.777777777777778</v>
      </c>
      <c r="K37" s="13" t="n">
        <f aca="false">K27*$G$9</f>
        <v>0.444444444444444</v>
      </c>
      <c r="L37" s="13" t="n">
        <f aca="false">L27*$H$9</f>
        <v>0.662551440329218</v>
      </c>
      <c r="M37" s="13" t="n">
        <f aca="false">M27*$I$9</f>
        <v>0.888888888888889</v>
      </c>
    </row>
    <row r="42" customFormat="false" ht="15" hidden="false" customHeight="false" outlineLevel="0" collapsed="false">
      <c r="A42" s="1" t="s">
        <v>49</v>
      </c>
    </row>
    <row r="43" customFormat="false" ht="14.25" hidden="false" customHeight="false" outlineLevel="0" collapsed="false">
      <c r="A43" s="3" t="s">
        <v>46</v>
      </c>
      <c r="B43" s="3" t="s">
        <v>50</v>
      </c>
      <c r="C43" s="3" t="s">
        <v>51</v>
      </c>
      <c r="D43" s="3" t="s">
        <v>52</v>
      </c>
      <c r="E43" s="3" t="s">
        <v>53</v>
      </c>
    </row>
    <row r="44" customFormat="false" ht="14.25" hidden="false" customHeight="false" outlineLevel="0" collapsed="false">
      <c r="A44" s="4" t="s">
        <v>23</v>
      </c>
      <c r="B44" s="13" t="n">
        <f aca="false">SQRT(((B34-1)^2+(C34-1)^2+(D34-1)^2)/3)+SQRT(((E34-1)^2+(F34-1)^2+(G34-1)^2)/3)+SQRT(((H34-1)^2+(I34-1)^2+(J34-1)^2)/3)+SQRT(((K34-1)^2+(L34-1)^2+(M34-1)^2)/3)</f>
        <v>2.03450566372729</v>
      </c>
      <c r="C44" s="13" t="n">
        <f aca="false">SQRT((B34^2+C34^2+D34^2)/3)+SQRT((E34^2+F34^2+G34^2)/3)+SQRT((H34^2+I34^2+J34^2)/3)+SQRT((K34^2+L34^2+M34^2)/3)</f>
        <v>2.37140735661969</v>
      </c>
      <c r="D44" s="15" t="n">
        <f aca="false">C44/(B44+C44)</f>
        <v>0.538232903297971</v>
      </c>
      <c r="E44" s="8" t="n">
        <f aca="false">RANK(D44,$D$44:$D$47,0)</f>
        <v>1</v>
      </c>
    </row>
    <row r="45" customFormat="false" ht="14.25" hidden="false" customHeight="false" outlineLevel="0" collapsed="false">
      <c r="A45" s="4" t="s">
        <v>25</v>
      </c>
      <c r="B45" s="13" t="n">
        <f aca="false">SQRT(((B35-1)^2+(C35-1)^2+(D35-1)^2)/3)+SQRT(((E35-1)^2+(F35-1)^2+(G35-1)^2)/3)+SQRT(((H35-1)^2+(I35-1)^2+(J35-1)^2)/3)+SQRT(((K35-1)^2+(L35-1)^2+(M35-1)^2)/3)</f>
        <v>2.40199885766376</v>
      </c>
      <c r="C45" s="13" t="n">
        <f aca="false">SQRT((B35^2+C35^2+D35^2)/3)+SQRT((E35^2+F35^2+G35^2)/3)+SQRT((H35^2+I35^2+J35^2)/3)+SQRT((K35^2+L35^2+M35^2)/3)</f>
        <v>1.99913244531049</v>
      </c>
      <c r="D45" s="15" t="n">
        <f aca="false">C45/(B45+C45)</f>
        <v>0.454231493606994</v>
      </c>
      <c r="E45" s="8" t="n">
        <f aca="false">RANK(D45,$D$44:$D$47,0)</f>
        <v>4</v>
      </c>
    </row>
    <row r="46" customFormat="false" ht="14.25" hidden="false" customHeight="false" outlineLevel="0" collapsed="false">
      <c r="A46" s="4" t="s">
        <v>27</v>
      </c>
      <c r="B46" s="13" t="n">
        <f aca="false">SQRT(((B36-1)^2+(C36-1)^2+(D36-1)^2)/3)+SQRT(((E36-1)^2+(F36-1)^2+(G36-1)^2)/3)+SQRT(((H36-1)^2+(I36-1)^2+(J36-1)^2)/3)+SQRT(((K36-1)^2+(L36-1)^2+(M36-1)^2)/3)</f>
        <v>2.33428344305063</v>
      </c>
      <c r="C46" s="13" t="n">
        <f aca="false">SQRT((B36^2+C36^2+D36^2)/3)+SQRT((E36^2+F36^2+G36^2)/3)+SQRT((H36^2+I36^2+J36^2)/3)+SQRT((K36^2+L36^2+M36^2)/3)</f>
        <v>2.04436736108648</v>
      </c>
      <c r="D46" s="15" t="n">
        <f aca="false">C46/(B46+C46)</f>
        <v>0.466894359137953</v>
      </c>
      <c r="E46" s="8" t="n">
        <f aca="false">RANK(D46,$D$44:$D$47,0)</f>
        <v>3</v>
      </c>
    </row>
    <row r="47" customFormat="false" ht="14.25" hidden="false" customHeight="false" outlineLevel="0" collapsed="false">
      <c r="A47" s="4" t="s">
        <v>29</v>
      </c>
      <c r="B47" s="13" t="n">
        <f aca="false">SQRT(((B37-1)^2+(C37-1)^2+(D37-1)^2)/3)+SQRT(((E37-1)^2+(F37-1)^2+(G37-1)^2)/3)+SQRT(((H37-1)^2+(I37-1)^2+(J37-1)^2)/3)+SQRT(((K37-1)^2+(L37-1)^2+(M37-1)^2)/3)</f>
        <v>2.21126773965283</v>
      </c>
      <c r="C47" s="13" t="n">
        <f aca="false">SQRT((B37^2+C37^2+D37^2)/3)+SQRT((E37^2+F37^2+G37^2)/3)+SQRT((H37^2+I37^2+J37^2)/3)+SQRT((K37^2+L37^2+M37^2)/3)</f>
        <v>2.29988097885734</v>
      </c>
      <c r="D47" s="15" t="n">
        <f aca="false">C47/(B47+C47)</f>
        <v>0.509821582565091</v>
      </c>
      <c r="E47" s="8" t="n">
        <f aca="false">RANK(D47,$D$44:$D$47,0)</f>
        <v>2</v>
      </c>
    </row>
  </sheetData>
  <mergeCells count="15">
    <mergeCell ref="A12:A13"/>
    <mergeCell ref="B12:D12"/>
    <mergeCell ref="E12:G12"/>
    <mergeCell ref="H12:J12"/>
    <mergeCell ref="K12:M12"/>
    <mergeCell ref="A22:A23"/>
    <mergeCell ref="B22:D22"/>
    <mergeCell ref="E22:G22"/>
    <mergeCell ref="H22:J22"/>
    <mergeCell ref="K22:M22"/>
    <mergeCell ref="A32:A33"/>
    <mergeCell ref="B32:D32"/>
    <mergeCell ref="E32:G32"/>
    <mergeCell ref="H32:J32"/>
    <mergeCell ref="K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false" showRowColHeaders="true" showZeros="true" rightToLeft="false" tabSelected="false" showOutlineSymbols="true" defaultGridColor="true" view="normal" topLeftCell="A61" colorId="64" zoomScale="100" zoomScaleNormal="100" zoomScalePageLayoutView="100" workbookViewId="0">
      <selection pane="topLeft" activeCell="D66" activeCellId="0" sqref="D66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3"/>
  </cols>
  <sheetData>
    <row r="1" customFormat="false" ht="15" hidden="false" customHeight="false" outlineLevel="0" collapsed="false">
      <c r="A1" s="1" t="s">
        <v>54</v>
      </c>
    </row>
    <row r="2" customFormat="false" ht="14.25" hidden="false" customHeight="false" outlineLevel="0" collapsed="false">
      <c r="A2" s="12" t="s">
        <v>55</v>
      </c>
    </row>
    <row r="4" customFormat="false" ht="15" hidden="false" customHeight="false" outlineLevel="0" collapsed="false">
      <c r="A4" s="1" t="s">
        <v>56</v>
      </c>
    </row>
    <row r="5" customFormat="false" ht="14.25" hidden="false" customHeight="false" outlineLevel="0" collapsed="false">
      <c r="A5" s="3" t="s">
        <v>3</v>
      </c>
      <c r="B5" s="3" t="s">
        <v>5</v>
      </c>
      <c r="C5" s="3" t="s">
        <v>6</v>
      </c>
      <c r="D5" s="3" t="s">
        <v>7</v>
      </c>
    </row>
    <row r="6" customFormat="false" ht="14.25" hidden="false" customHeight="false" outlineLevel="0" collapsed="false">
      <c r="A6" s="4" t="s">
        <v>11</v>
      </c>
      <c r="B6" s="13" t="n">
        <f aca="false">(Оценки!D6+4*Оценки!E6+Оценки!F6)/6</f>
        <v>7</v>
      </c>
      <c r="C6" s="13" t="n">
        <f aca="false">(Оценки!G6+4*Оценки!H6+Оценки!I6)/6</f>
        <v>6</v>
      </c>
      <c r="D6" s="13" t="n">
        <f aca="false">(Оценки!J6+4*Оценки!K6+Оценки!L6)/6</f>
        <v>7.33333333333333</v>
      </c>
    </row>
    <row r="7" customFormat="false" ht="14.25" hidden="false" customHeight="false" outlineLevel="0" collapsed="false">
      <c r="A7" s="4" t="s">
        <v>14</v>
      </c>
      <c r="B7" s="13" t="n">
        <f aca="false">(Оценки!D7+4*Оценки!E7+Оценки!F7)/6</f>
        <v>8</v>
      </c>
      <c r="C7" s="13" t="n">
        <f aca="false">(Оценки!G7+4*Оценки!H7+Оценки!I7)/6</f>
        <v>8.83333333333333</v>
      </c>
      <c r="D7" s="13" t="n">
        <f aca="false">(Оценки!J7+4*Оценки!K7+Оценки!L7)/6</f>
        <v>6.83333333333333</v>
      </c>
    </row>
    <row r="8" customFormat="false" ht="14.25" hidden="false" customHeight="false" outlineLevel="0" collapsed="false">
      <c r="A8" s="4" t="s">
        <v>17</v>
      </c>
      <c r="B8" s="13" t="n">
        <f aca="false">(Оценки!D8+4*Оценки!E8+Оценки!F8)/6</f>
        <v>4</v>
      </c>
      <c r="C8" s="13" t="n">
        <f aca="false">(Оценки!G8+4*Оценки!H8+Оценки!I8)/6</f>
        <v>6</v>
      </c>
      <c r="D8" s="13" t="n">
        <f aca="false">(Оценки!J8+4*Оценки!K8+Оценки!L8)/6</f>
        <v>6.5</v>
      </c>
    </row>
    <row r="9" customFormat="false" ht="14.25" hidden="false" customHeight="false" outlineLevel="0" collapsed="false">
      <c r="A9" s="4" t="s">
        <v>19</v>
      </c>
      <c r="B9" s="13" t="n">
        <f aca="false">(Оценки!D9+4*Оценки!E9+Оценки!F9)/6</f>
        <v>8</v>
      </c>
      <c r="C9" s="13" t="n">
        <f aca="false">(Оценки!G9+4*Оценки!H9+Оценки!I9)/6</f>
        <v>7</v>
      </c>
      <c r="D9" s="13" t="n">
        <f aca="false">(Оценки!J9+4*Оценки!K9+Оценки!L9)/6</f>
        <v>8</v>
      </c>
    </row>
    <row r="12" customFormat="false" ht="15" hidden="false" customHeight="false" outlineLevel="0" collapsed="false">
      <c r="A12" s="1" t="s">
        <v>57</v>
      </c>
    </row>
    <row r="13" customFormat="false" ht="14.25" hidden="false" customHeight="false" outlineLevel="0" collapsed="false">
      <c r="A13" s="3" t="s">
        <v>3</v>
      </c>
      <c r="B13" s="3" t="s">
        <v>46</v>
      </c>
      <c r="C13" s="3" t="s">
        <v>5</v>
      </c>
      <c r="D13" s="3" t="s">
        <v>6</v>
      </c>
      <c r="E13" s="3" t="s">
        <v>7</v>
      </c>
    </row>
    <row r="14" customFormat="false" ht="14.25" hidden="false" customHeight="false" outlineLevel="0" collapsed="false">
      <c r="A14" s="4" t="s">
        <v>11</v>
      </c>
      <c r="B14" s="8" t="s">
        <v>23</v>
      </c>
      <c r="C14" s="13" t="n">
        <f aca="false">IF(Оценки!$C$6="затратный",10-(Оценки!D21+4*Оценки!E21+Оценки!F21)/6,(Оценки!D21+4*Оценки!E21+Оценки!F21)/6)</f>
        <v>4.83333333333333</v>
      </c>
      <c r="D14" s="13" t="n">
        <f aca="false">IF(Оценки!$C$6="затратный",10-(Оценки!G21+4*Оценки!H21+Оценки!I21)/6,(Оценки!G21+4*Оценки!H21+Оценки!I21)/6)</f>
        <v>3.83333333333333</v>
      </c>
      <c r="E14" s="13" t="n">
        <f aca="false">IF(Оценки!$C$6="затратный",10-(Оценки!J21+4*Оценки!K21+Оценки!L21)/6,(Оценки!J21+4*Оценки!K21+Оценки!L21)/6)</f>
        <v>4.16666666666667</v>
      </c>
    </row>
    <row r="15" customFormat="false" ht="14.25" hidden="false" customHeight="false" outlineLevel="0" collapsed="false">
      <c r="A15" s="4" t="s">
        <v>11</v>
      </c>
      <c r="B15" s="8" t="s">
        <v>25</v>
      </c>
      <c r="C15" s="13" t="n">
        <f aca="false">IF(Оценки!$C$6="затратный",10-(Оценки!D22+4*Оценки!E22+Оценки!F22)/6,(Оценки!D22+4*Оценки!E22+Оценки!F22)/6)</f>
        <v>5.83333333333333</v>
      </c>
      <c r="D15" s="13" t="n">
        <f aca="false">IF(Оценки!$C$6="затратный",10-(Оценки!G22+4*Оценки!H22+Оценки!I22)/6,(Оценки!G22+4*Оценки!H22+Оценки!I22)/6)</f>
        <v>5.16666666666667</v>
      </c>
      <c r="E15" s="13" t="n">
        <f aca="false">IF(Оценки!$C$6="затратный",10-(Оценки!J22+4*Оценки!K22+Оценки!L22)/6,(Оценки!J22+4*Оценки!K22+Оценки!L22)/6)</f>
        <v>4.5</v>
      </c>
    </row>
    <row r="16" customFormat="false" ht="14.25" hidden="false" customHeight="false" outlineLevel="0" collapsed="false">
      <c r="A16" s="4" t="s">
        <v>11</v>
      </c>
      <c r="B16" s="8" t="s">
        <v>27</v>
      </c>
      <c r="C16" s="13" t="n">
        <f aca="false">IF(Оценки!$C$6="затратный",10-(Оценки!D23+4*Оценки!E23+Оценки!F23)/6,(Оценки!D23+4*Оценки!E23+Оценки!F23)/6)</f>
        <v>7</v>
      </c>
      <c r="D16" s="13" t="n">
        <f aca="false">IF(Оценки!$C$6="затратный",10-(Оценки!G23+4*Оценки!H23+Оценки!I23)/6,(Оценки!G23+4*Оценки!H23+Оценки!I23)/6)</f>
        <v>6.83333333333333</v>
      </c>
      <c r="E16" s="13" t="n">
        <f aca="false">IF(Оценки!$C$6="затратный",10-(Оценки!J23+4*Оценки!K23+Оценки!L23)/6,(Оценки!J23+4*Оценки!K23+Оценки!L23)/6)</f>
        <v>7.33333333333333</v>
      </c>
    </row>
    <row r="17" customFormat="false" ht="14.25" hidden="false" customHeight="false" outlineLevel="0" collapsed="false">
      <c r="A17" s="4" t="s">
        <v>11</v>
      </c>
      <c r="B17" s="8" t="s">
        <v>29</v>
      </c>
      <c r="C17" s="13" t="n">
        <f aca="false">IF(Оценки!$C$6="затратный",10-(Оценки!D24+4*Оценки!E24+Оценки!F24)/6,(Оценки!D24+4*Оценки!E24+Оценки!F24)/6)</f>
        <v>8</v>
      </c>
      <c r="D17" s="13" t="n">
        <f aca="false">IF(Оценки!$C$6="затратный",10-(Оценки!G24+4*Оценки!H24+Оценки!I24)/6,(Оценки!G24+4*Оценки!H24+Оценки!I24)/6)</f>
        <v>8</v>
      </c>
      <c r="E17" s="13" t="n">
        <f aca="false">IF(Оценки!$C$6="затратный",10-(Оценки!J24+4*Оценки!K24+Оценки!L24)/6,(Оценки!J24+4*Оценки!K24+Оценки!L24)/6)</f>
        <v>6.83333333333333</v>
      </c>
    </row>
    <row r="18" customFormat="false" ht="14.25" hidden="false" customHeight="false" outlineLevel="0" collapsed="false">
      <c r="A18" s="9" t="s">
        <v>14</v>
      </c>
      <c r="B18" s="10" t="s">
        <v>23</v>
      </c>
      <c r="C18" s="16" t="n">
        <f aca="false">IF(Оценки!$C$7="затратный",10-(Оценки!D25+4*Оценки!E25+Оценки!F25)/6,(Оценки!D25+4*Оценки!E25+Оценки!F25)/6)</f>
        <v>8</v>
      </c>
      <c r="D18" s="16" t="n">
        <f aca="false">IF(Оценки!$C$7="затратный",10-(Оценки!G25+4*Оценки!H25+Оценки!I25)/6,(Оценки!G25+4*Оценки!H25+Оценки!I25)/6)</f>
        <v>8.83333333333333</v>
      </c>
      <c r="E18" s="16" t="n">
        <f aca="false">IF(Оценки!$C$7="затратный",10-(Оценки!J25+4*Оценки!K25+Оценки!L25)/6,(Оценки!J25+4*Оценки!K25+Оценки!L25)/6)</f>
        <v>8.66666666666667</v>
      </c>
    </row>
    <row r="19" customFormat="false" ht="14.25" hidden="false" customHeight="false" outlineLevel="0" collapsed="false">
      <c r="A19" s="9" t="s">
        <v>14</v>
      </c>
      <c r="B19" s="10" t="s">
        <v>25</v>
      </c>
      <c r="C19" s="16" t="n">
        <f aca="false">IF(Оценки!$C$7="затратный",10-(Оценки!D26+4*Оценки!E26+Оценки!F26)/6,(Оценки!D26+4*Оценки!E26+Оценки!F26)/6)</f>
        <v>4.16666666666667</v>
      </c>
      <c r="D19" s="16" t="n">
        <f aca="false">IF(Оценки!$C$7="затратный",10-(Оценки!G26+4*Оценки!H26+Оценки!I26)/6,(Оценки!G26+4*Оценки!H26+Оценки!I26)/6)</f>
        <v>5</v>
      </c>
      <c r="E19" s="16" t="n">
        <f aca="false">IF(Оценки!$C$7="затратный",10-(Оценки!J26+4*Оценки!K26+Оценки!L26)/6,(Оценки!J26+4*Оценки!K26+Оценки!L26)/6)</f>
        <v>5.83333333333333</v>
      </c>
    </row>
    <row r="20" customFormat="false" ht="14.25" hidden="false" customHeight="false" outlineLevel="0" collapsed="false">
      <c r="A20" s="9" t="s">
        <v>14</v>
      </c>
      <c r="B20" s="10" t="s">
        <v>27</v>
      </c>
      <c r="C20" s="16" t="n">
        <f aca="false">IF(Оценки!$C$7="затратный",10-(Оценки!D27+4*Оценки!E27+Оценки!F27)/6,(Оценки!D27+4*Оценки!E27+Оценки!F27)/6)</f>
        <v>6</v>
      </c>
      <c r="D20" s="16" t="n">
        <f aca="false">IF(Оценки!$C$7="затратный",10-(Оценки!G27+4*Оценки!H27+Оценки!I27)/6,(Оценки!G27+4*Оценки!H27+Оценки!I27)/6)</f>
        <v>5.16666666666667</v>
      </c>
      <c r="E20" s="16" t="n">
        <f aca="false">IF(Оценки!$C$7="затратный",10-(Оценки!J27+4*Оценки!K27+Оценки!L27)/6,(Оценки!J27+4*Оценки!K27+Оценки!L27)/6)</f>
        <v>6.16666666666667</v>
      </c>
    </row>
    <row r="21" customFormat="false" ht="14.25" hidden="false" customHeight="false" outlineLevel="0" collapsed="false">
      <c r="A21" s="9" t="s">
        <v>14</v>
      </c>
      <c r="B21" s="10" t="s">
        <v>29</v>
      </c>
      <c r="C21" s="16" t="n">
        <f aca="false">IF(Оценки!$C$7="затратный",10-(Оценки!D28+4*Оценки!E28+Оценки!F28)/6,(Оценки!D28+4*Оценки!E28+Оценки!F28)/6)</f>
        <v>5</v>
      </c>
      <c r="D21" s="16" t="n">
        <f aca="false">IF(Оценки!$C$7="затратный",10-(Оценки!G28+4*Оценки!H28+Оценки!I28)/6,(Оценки!G28+4*Оценки!H28+Оценки!I28)/6)</f>
        <v>4.16666666666667</v>
      </c>
      <c r="E21" s="16" t="n">
        <f aca="false">IF(Оценки!$C$7="затратный",10-(Оценки!J28+4*Оценки!K28+Оценки!L28)/6,(Оценки!J28+4*Оценки!K28+Оценки!L28)/6)</f>
        <v>5</v>
      </c>
    </row>
    <row r="22" customFormat="false" ht="14.25" hidden="false" customHeight="false" outlineLevel="0" collapsed="false">
      <c r="A22" s="4" t="s">
        <v>17</v>
      </c>
      <c r="B22" s="8" t="s">
        <v>23</v>
      </c>
      <c r="C22" s="13" t="n">
        <f aca="false">IF(Оценки!$C$8="затратный",10-(Оценки!D29+4*Оценки!E29+Оценки!F29)/6,(Оценки!D29+4*Оценки!E29+Оценки!F29)/6)</f>
        <v>6</v>
      </c>
      <c r="D22" s="13" t="n">
        <f aca="false">IF(Оценки!$C$8="затратный",10-(Оценки!G29+4*Оценки!H29+Оценки!I29)/6,(Оценки!G29+4*Оценки!H29+Оценки!I29)/6)</f>
        <v>7</v>
      </c>
      <c r="E22" s="13" t="n">
        <f aca="false">IF(Оценки!$C$8="затратный",10-(Оценки!J29+4*Оценки!K29+Оценки!L29)/6,(Оценки!J29+4*Оценки!K29+Оценки!L29)/6)</f>
        <v>7</v>
      </c>
    </row>
    <row r="23" customFormat="false" ht="14.25" hidden="false" customHeight="false" outlineLevel="0" collapsed="false">
      <c r="A23" s="4" t="s">
        <v>17</v>
      </c>
      <c r="B23" s="8" t="s">
        <v>25</v>
      </c>
      <c r="C23" s="13" t="n">
        <f aca="false">IF(Оценки!$C$8="затратный",10-(Оценки!D30+4*Оценки!E30+Оценки!F30)/6,(Оценки!D30+4*Оценки!E30+Оценки!F30)/6)</f>
        <v>4</v>
      </c>
      <c r="D23" s="13" t="n">
        <f aca="false">IF(Оценки!$C$8="затратный",10-(Оценки!G30+4*Оценки!H30+Оценки!I30)/6,(Оценки!G30+4*Оценки!H30+Оценки!I30)/6)</f>
        <v>5</v>
      </c>
      <c r="E23" s="13" t="n">
        <f aca="false">IF(Оценки!$C$8="затратный",10-(Оценки!J30+4*Оценки!K30+Оценки!L30)/6,(Оценки!J30+4*Оценки!K30+Оценки!L30)/6)</f>
        <v>4.33333333333333</v>
      </c>
    </row>
    <row r="24" customFormat="false" ht="14.25" hidden="false" customHeight="false" outlineLevel="0" collapsed="false">
      <c r="A24" s="4" t="s">
        <v>17</v>
      </c>
      <c r="B24" s="8" t="s">
        <v>27</v>
      </c>
      <c r="C24" s="13" t="n">
        <f aca="false">IF(Оценки!$C$8="затратный",10-(Оценки!D31+4*Оценки!E31+Оценки!F31)/6,(Оценки!D31+4*Оценки!E31+Оценки!F31)/6)</f>
        <v>4.16666666666667</v>
      </c>
      <c r="D24" s="13" t="n">
        <f aca="false">IF(Оценки!$C$8="затратный",10-(Оценки!G31+4*Оценки!H31+Оценки!I31)/6,(Оценки!G31+4*Оценки!H31+Оценки!I31)/6)</f>
        <v>5</v>
      </c>
      <c r="E24" s="13" t="n">
        <f aca="false">IF(Оценки!$C$8="затратный",10-(Оценки!J31+4*Оценки!K31+Оценки!L31)/6,(Оценки!J31+4*Оценки!K31+Оценки!L31)/6)</f>
        <v>5</v>
      </c>
    </row>
    <row r="25" customFormat="false" ht="14.25" hidden="false" customHeight="false" outlineLevel="0" collapsed="false">
      <c r="A25" s="4" t="s">
        <v>17</v>
      </c>
      <c r="B25" s="8" t="s">
        <v>29</v>
      </c>
      <c r="C25" s="13" t="n">
        <f aca="false">IF(Оценки!$C$8="затратный",10-(Оценки!D32+4*Оценки!E32+Оценки!F32)/6,(Оценки!D32+4*Оценки!E32+Оценки!F32)/6)</f>
        <v>5.16666666666667</v>
      </c>
      <c r="D25" s="13" t="n">
        <f aca="false">IF(Оценки!$C$8="затратный",10-(Оценки!G32+4*Оценки!H32+Оценки!I32)/6,(Оценки!G32+4*Оценки!H32+Оценки!I32)/6)</f>
        <v>6</v>
      </c>
      <c r="E25" s="13" t="n">
        <f aca="false">IF(Оценки!$C$8="затратный",10-(Оценки!J32+4*Оценки!K32+Оценки!L32)/6,(Оценки!J32+4*Оценки!K32+Оценки!L32)/6)</f>
        <v>5.83333333333333</v>
      </c>
    </row>
    <row r="26" customFormat="false" ht="14.25" hidden="false" customHeight="false" outlineLevel="0" collapsed="false">
      <c r="A26" s="9" t="s">
        <v>19</v>
      </c>
      <c r="B26" s="10" t="s">
        <v>23</v>
      </c>
      <c r="C26" s="16" t="n">
        <f aca="false">IF(Оценки!$C$9="затратный",10-(Оценки!D33+4*Оценки!E33+Оценки!F33)/6,(Оценки!D33+4*Оценки!E33+Оценки!F33)/6)</f>
        <v>8.83333333333333</v>
      </c>
      <c r="D26" s="16" t="n">
        <f aca="false">IF(Оценки!$C$9="затратный",10-(Оценки!G33+4*Оценки!H33+Оценки!I33)/6,(Оценки!G33+4*Оценки!H33+Оценки!I33)/6)</f>
        <v>8</v>
      </c>
      <c r="E26" s="16" t="n">
        <f aca="false">IF(Оценки!$C$9="затратный",10-(Оценки!J33+4*Оценки!K33+Оценки!L33)/6,(Оценки!J33+4*Оценки!K33+Оценки!L33)/6)</f>
        <v>8.83333333333333</v>
      </c>
    </row>
    <row r="27" customFormat="false" ht="14.25" hidden="false" customHeight="false" outlineLevel="0" collapsed="false">
      <c r="A27" s="9" t="s">
        <v>19</v>
      </c>
      <c r="B27" s="10" t="s">
        <v>25</v>
      </c>
      <c r="C27" s="16" t="n">
        <f aca="false">IF(Оценки!$C$9="затратный",10-(Оценки!D34+4*Оценки!E34+Оценки!F34)/6,(Оценки!D34+4*Оценки!E34+Оценки!F34)/6)</f>
        <v>7</v>
      </c>
      <c r="D27" s="16" t="n">
        <f aca="false">IF(Оценки!$C$9="затратный",10-(Оценки!G34+4*Оценки!H34+Оценки!I34)/6,(Оценки!G34+4*Оценки!H34+Оценки!I34)/6)</f>
        <v>8</v>
      </c>
      <c r="E27" s="16" t="n">
        <f aca="false">IF(Оценки!$C$9="затратный",10-(Оценки!J34+4*Оценки!K34+Оценки!L34)/6,(Оценки!J34+4*Оценки!K34+Оценки!L34)/6)</f>
        <v>7</v>
      </c>
    </row>
    <row r="28" customFormat="false" ht="14.25" hidden="false" customHeight="false" outlineLevel="0" collapsed="false">
      <c r="A28" s="9" t="s">
        <v>19</v>
      </c>
      <c r="B28" s="10" t="s">
        <v>27</v>
      </c>
      <c r="C28" s="16" t="n">
        <f aca="false">IF(Оценки!$C$9="затратный",10-(Оценки!D35+4*Оценки!E35+Оценки!F35)/6,(Оценки!D35+4*Оценки!E35+Оценки!F35)/6)</f>
        <v>6</v>
      </c>
      <c r="D28" s="16" t="n">
        <f aca="false">IF(Оценки!$C$9="затратный",10-(Оценки!G35+4*Оценки!H35+Оценки!I35)/6,(Оценки!G35+4*Оценки!H35+Оценки!I35)/6)</f>
        <v>6.16666666666667</v>
      </c>
      <c r="E28" s="16" t="n">
        <f aca="false">IF(Оценки!$C$9="затратный",10-(Оценки!J35+4*Оценки!K35+Оценки!L35)/6,(Оценки!J35+4*Оценки!K35+Оценки!L35)/6)</f>
        <v>6</v>
      </c>
    </row>
    <row r="29" customFormat="false" ht="14.25" hidden="false" customHeight="false" outlineLevel="0" collapsed="false">
      <c r="A29" s="9" t="s">
        <v>19</v>
      </c>
      <c r="B29" s="10" t="s">
        <v>29</v>
      </c>
      <c r="C29" s="16" t="n">
        <f aca="false">IF(Оценки!$C$9="затратный",10-(Оценки!D36+4*Оценки!E36+Оценки!F36)/6,(Оценки!D36+4*Оценки!E36+Оценки!F36)/6)</f>
        <v>7</v>
      </c>
      <c r="D29" s="16" t="n">
        <f aca="false">IF(Оценки!$C$9="затратный",10-(Оценки!G36+4*Оценки!H36+Оценки!I36)/6,(Оценки!G36+4*Оценки!H36+Оценки!I36)/6)</f>
        <v>7</v>
      </c>
      <c r="E29" s="16" t="n">
        <f aca="false">IF(Оценки!$C$9="затратный",10-(Оценки!J36+4*Оценки!K36+Оценки!L36)/6,(Оценки!J36+4*Оценки!K36+Оценки!L36)/6)</f>
        <v>7</v>
      </c>
    </row>
    <row r="32" customFormat="false" ht="15" hidden="false" customHeight="false" outlineLevel="0" collapsed="false">
      <c r="A32" s="1" t="s">
        <v>58</v>
      </c>
    </row>
    <row r="33" customFormat="false" ht="14.25" hidden="false" customHeight="false" outlineLevel="0" collapsed="false">
      <c r="A33" s="3"/>
      <c r="B33" s="3" t="s">
        <v>11</v>
      </c>
      <c r="C33" s="3" t="s">
        <v>14</v>
      </c>
      <c r="D33" s="3" t="s">
        <v>17</v>
      </c>
      <c r="E33" s="3" t="s">
        <v>19</v>
      </c>
      <c r="F33" s="3" t="s">
        <v>59</v>
      </c>
      <c r="G33" s="3" t="s">
        <v>60</v>
      </c>
    </row>
    <row r="34" customFormat="false" ht="14.25" hidden="false" customHeight="false" outlineLevel="0" collapsed="false">
      <c r="A34" s="17" t="s">
        <v>11</v>
      </c>
      <c r="B34" s="13" t="n">
        <v>1</v>
      </c>
      <c r="C34" s="13" t="n">
        <f aca="false">(IF($B$6/$B$7&gt;=1,MIN(ROUND($B$6/$B$7,0),9),1/MIN(ROUND($B$7/$B$6,0),9))*IF($C$6/$C$7&gt;=1,MIN(ROUND($C$6/$C$7,0),9),1/MIN(ROUND($C$7/$C$6,0),9))*IF($D$6/$D$7&gt;=1,MIN(ROUND($D$6/$D$7,0),9),1/MIN(ROUND($D$7/$D$6,0),9)))^(1/3)</f>
        <v>1</v>
      </c>
      <c r="D34" s="13" t="n">
        <f aca="false">(IF($B$6/$B$8&gt;=1,MIN(ROUND($B$6/$B$8,0),9),1/MIN(ROUND($B$8/$B$6,0),9))*IF($C$6/$C$8&gt;=1,MIN(ROUND($C$6/$C$8,0),9),1/MIN(ROUND($C$8/$C$6,0),9))*IF($D$6/$D$8&gt;=1,MIN(ROUND($D$6/$D$8,0),9),1/MIN(ROUND($D$8/$D$6,0),9)))^(1/3)</f>
        <v>1.25992104989487</v>
      </c>
      <c r="E34" s="13" t="n">
        <f aca="false">(IF($B$6/$B$9&gt;=1,MIN(ROUND($B$6/$B$9,0),9),1/MIN(ROUND($B$9/$B$6,0),9))*IF($C$6/$C$9&gt;=1,MIN(ROUND($C$6/$C$9,0),9),1/MIN(ROUND($C$9/$C$6,0),9))*IF($D$6/$D$9&gt;=1,MIN(ROUND($D$6/$D$9,0),9),1/MIN(ROUND($D$9/$D$6,0),9)))^(1/3)</f>
        <v>1</v>
      </c>
      <c r="F34" s="13" t="n">
        <f aca="false">GEOMEAN(B34:E34)</f>
        <v>1.0594630943593</v>
      </c>
      <c r="G34" s="15" t="n">
        <f aca="false">F34/SUM($F$34:$F$37)</f>
        <v>0.263594870799823</v>
      </c>
    </row>
    <row r="35" customFormat="false" ht="14.25" hidden="false" customHeight="false" outlineLevel="0" collapsed="false">
      <c r="A35" s="17" t="s">
        <v>14</v>
      </c>
      <c r="B35" s="13" t="n">
        <f aca="false">(IF($B$7/$B$6&gt;=1,MIN(ROUND($B$7/$B$6,0),9),1/MIN(ROUND($B$6/$B$7,0),9))*IF($C$7/$C$6&gt;=1,MIN(ROUND($C$7/$C$6,0),9),1/MIN(ROUND($C$6/$C$7,0),9))*IF($D$7/$D$6&gt;=1,MIN(ROUND($D$7/$D$6,0),9),1/MIN(ROUND($D$6/$D$7,0),9)))^(1/3)</f>
        <v>1</v>
      </c>
      <c r="C35" s="13" t="n">
        <v>1</v>
      </c>
      <c r="D35" s="13" t="n">
        <f aca="false">(IF($B$7/$B$8&gt;=1,MIN(ROUND($B$7/$B$8,0),9),1/MIN(ROUND($B$8/$B$7,0),9))*IF($C$7/$C$8&gt;=1,MIN(ROUND($C$7/$C$8,0),9),1/MIN(ROUND($C$8/$C$7,0),9))*IF($D$7/$D$8&gt;=1,MIN(ROUND($D$7/$D$8,0),9),1/MIN(ROUND($D$8/$D$7,0),9)))^(1/3)</f>
        <v>1.25992104989487</v>
      </c>
      <c r="E35" s="13" t="n">
        <f aca="false">(IF($B$7/$B$9&gt;=1,MIN(ROUND($B$7/$B$9,0),9),1/MIN(ROUND($B$9/$B$7,0),9))*IF($C$7/$C$9&gt;=1,MIN(ROUND($C$7/$C$9,0),9),1/MIN(ROUND($C$9/$C$7,0),9))*IF($D$7/$D$9&gt;=1,MIN(ROUND($D$7/$D$9,0),9),1/MIN(ROUND($D$9/$D$7,0),9)))^(1/3)</f>
        <v>1</v>
      </c>
      <c r="F35" s="13" t="n">
        <f aca="false">GEOMEAN(B35:E35)</f>
        <v>1.0594630943593</v>
      </c>
      <c r="G35" s="15" t="n">
        <f aca="false">F35/SUM($F$34:$F$37)</f>
        <v>0.263594870799823</v>
      </c>
    </row>
    <row r="36" customFormat="false" ht="14.25" hidden="false" customHeight="false" outlineLevel="0" collapsed="false">
      <c r="A36" s="17" t="s">
        <v>17</v>
      </c>
      <c r="B36" s="13" t="n">
        <f aca="false">(IF($B$8/$B$6&gt;=1,MIN(ROUND($B$8/$B$6,0),9),1/MIN(ROUND($B$6/$B$8,0),9))*IF($C$8/$C$6&gt;=1,MIN(ROUND($C$8/$C$6,0),9),1/MIN(ROUND($C$6/$C$8,0),9))*IF($D$8/$D$6&gt;=1,MIN(ROUND($D$8/$D$6,0),9),1/MIN(ROUND($D$6/$D$8,0),9)))^(1/3)</f>
        <v>0.7937005259841</v>
      </c>
      <c r="C36" s="13" t="n">
        <f aca="false">(IF($B$8/$B$7&gt;=1,MIN(ROUND($B$8/$B$7,0),9),1/MIN(ROUND($B$7/$B$8,0),9))*IF($C$8/$C$7&gt;=1,MIN(ROUND($C$8/$C$7,0),9),1/MIN(ROUND($C$7/$C$8,0),9))*IF($D$8/$D$7&gt;=1,MIN(ROUND($D$8/$D$7,0),9),1/MIN(ROUND($D$7/$D$8,0),9)))^(1/3)</f>
        <v>0.7937005259841</v>
      </c>
      <c r="D36" s="13" t="n">
        <v>1</v>
      </c>
      <c r="E36" s="13" t="n">
        <f aca="false">(IF($B$8/$B$9&gt;=1,MIN(ROUND($B$8/$B$9,0),9),1/MIN(ROUND($B$9/$B$8,0),9))*IF($C$8/$C$9&gt;=1,MIN(ROUND($C$8/$C$9,0),9),1/MIN(ROUND($C$9/$C$8,0),9))*IF($D$8/$D$9&gt;=1,MIN(ROUND($D$8/$D$9,0),9),1/MIN(ROUND($D$9/$D$8,0),9)))^(1/3)</f>
        <v>0.7937005259841</v>
      </c>
      <c r="F36" s="13" t="n">
        <f aca="false">GEOMEAN(B36:E36)</f>
        <v>0.840896415253715</v>
      </c>
      <c r="G36" s="15" t="n">
        <f aca="false">F36/SUM($F$34:$F$37)</f>
        <v>0.209215387600531</v>
      </c>
    </row>
    <row r="37" customFormat="false" ht="14.25" hidden="false" customHeight="false" outlineLevel="0" collapsed="false">
      <c r="A37" s="17" t="s">
        <v>19</v>
      </c>
      <c r="B37" s="13" t="n">
        <f aca="false">(IF($B$9/$B$6&gt;=1,MIN(ROUND($B$9/$B$6,0),9),1/MIN(ROUND($B$6/$B$9,0),9))*IF($C$9/$C$6&gt;=1,MIN(ROUND($C$9/$C$6,0),9),1/MIN(ROUND($C$6/$C$9,0),9))*IF($D$9/$D$6&gt;=1,MIN(ROUND($D$9/$D$6,0),9),1/MIN(ROUND($D$6/$D$9,0),9)))^(1/3)</f>
        <v>1</v>
      </c>
      <c r="C37" s="13" t="n">
        <f aca="false">(IF($B$9/$B$7&gt;=1,MIN(ROUND($B$9/$B$7,0),9),1/MIN(ROUND($B$7/$B$9,0),9))*IF($C$9/$C$7&gt;=1,MIN(ROUND($C$9/$C$7,0),9),1/MIN(ROUND($C$7/$C$9,0),9))*IF($D$9/$D$7&gt;=1,MIN(ROUND($D$9/$D$7,0),9),1/MIN(ROUND($D$7/$D$9,0),9)))^(1/3)</f>
        <v>1</v>
      </c>
      <c r="D37" s="13" t="n">
        <f aca="false">(IF($B$9/$B$8&gt;=1,MIN(ROUND($B$9/$B$8,0),9),1/MIN(ROUND($B$8/$B$9,0),9))*IF($C$9/$C$8&gt;=1,MIN(ROUND($C$9/$C$8,0),9),1/MIN(ROUND($C$8/$C$9,0),9))*IF($D$9/$D$8&gt;=1,MIN(ROUND($D$9/$D$8,0),9),1/MIN(ROUND($D$8/$D$9,0),9)))^(1/3)</f>
        <v>1.25992104989487</v>
      </c>
      <c r="E37" s="13" t="n">
        <v>1</v>
      </c>
      <c r="F37" s="13" t="n">
        <f aca="false">GEOMEAN(B37:E37)</f>
        <v>1.0594630943593</v>
      </c>
      <c r="G37" s="15" t="n">
        <f aca="false">F37/SUM($F$34:$F$37)</f>
        <v>0.263594870799823</v>
      </c>
    </row>
    <row r="38" customFormat="false" ht="14.25" hidden="false" customHeight="false" outlineLevel="0" collapsed="false">
      <c r="A38" s="9" t="s">
        <v>61</v>
      </c>
      <c r="B38" s="13" t="n">
        <f aca="false">SUM(B34:B37)</f>
        <v>3.7937005259841</v>
      </c>
      <c r="C38" s="13" t="n">
        <f aca="false">SUM(C34:C37)</f>
        <v>3.7937005259841</v>
      </c>
      <c r="D38" s="13" t="n">
        <f aca="false">SUM(D34:D37)</f>
        <v>4.77976314968462</v>
      </c>
      <c r="E38" s="13" t="n">
        <f aca="false">SUM(E34:E37)</f>
        <v>3.7937005259841</v>
      </c>
    </row>
    <row r="39" customFormat="false" ht="14.25" hidden="false" customHeight="false" outlineLevel="0" collapsed="false">
      <c r="A39" s="9" t="s">
        <v>62</v>
      </c>
      <c r="B39" s="13" t="n">
        <f aca="false">G34</f>
        <v>0.263594870799823</v>
      </c>
      <c r="C39" s="13" t="n">
        <f aca="false">G35</f>
        <v>0.263594870799823</v>
      </c>
      <c r="D39" s="13" t="n">
        <f aca="false">G36</f>
        <v>0.209215387600531</v>
      </c>
      <c r="E39" s="13" t="n">
        <f aca="false">G37</f>
        <v>0.263594870799823</v>
      </c>
    </row>
    <row r="40" customFormat="false" ht="14.25" hidden="false" customHeight="false" outlineLevel="0" collapsed="false">
      <c r="A40" s="9" t="s">
        <v>63</v>
      </c>
      <c r="B40" s="18" t="n">
        <f aca="false">SUMPRODUCT(B38:E38,B39:E39)</f>
        <v>4</v>
      </c>
      <c r="C40" s="9" t="s">
        <v>64</v>
      </c>
      <c r="D40" s="18" t="n">
        <f aca="false">(B40-4)/3</f>
        <v>0</v>
      </c>
      <c r="E40" s="9" t="s">
        <v>65</v>
      </c>
      <c r="F40" s="18" t="n">
        <f aca="false">D40/0.9</f>
        <v>0</v>
      </c>
      <c r="G40" s="19" t="str">
        <f aca="false">IF(F40&lt;0.1,"согласована","требует пересмотра")</f>
        <v>согласована</v>
      </c>
    </row>
    <row r="42" customFormat="false" ht="15" hidden="false" customHeight="false" outlineLevel="0" collapsed="false">
      <c r="A42" s="1" t="s">
        <v>66</v>
      </c>
    </row>
    <row r="43" customFormat="false" ht="14.25" hidden="false" customHeight="false" outlineLevel="0" collapsed="false">
      <c r="A43" s="3"/>
      <c r="B43" s="3" t="s">
        <v>23</v>
      </c>
      <c r="C43" s="3" t="s">
        <v>25</v>
      </c>
      <c r="D43" s="3" t="s">
        <v>27</v>
      </c>
      <c r="E43" s="3" t="s">
        <v>29</v>
      </c>
      <c r="F43" s="3" t="s">
        <v>59</v>
      </c>
      <c r="G43" s="3" t="s">
        <v>60</v>
      </c>
    </row>
    <row r="44" customFormat="false" ht="14.25" hidden="false" customHeight="false" outlineLevel="0" collapsed="false">
      <c r="A44" s="17" t="s">
        <v>23</v>
      </c>
      <c r="B44" s="13" t="n">
        <v>1</v>
      </c>
      <c r="C44" s="13" t="n">
        <f aca="false">(IF($C$14/$C$15&gt;=1,MIN(ROUND($C$14/$C$15,0),9),1/MIN(ROUND($C$15/$C$14,0),9))*IF($D$14/$D$15&gt;=1,MIN(ROUND($D$14/$D$15,0),9),1/MIN(ROUND($D$15/$D$14,0),9))*IF($E$14/$E$15&gt;=1,MIN(ROUND($E$14/$E$15,0),9),1/MIN(ROUND($E$15/$E$14,0),9)))^(1/3)</f>
        <v>1</v>
      </c>
      <c r="D44" s="13" t="n">
        <f aca="false">(IF($C$14/$C$16&gt;=1,MIN(ROUND($C$14/$C$16,0),9),1/MIN(ROUND($C$16/$C$14,0),9))*IF($D$14/$D$16&gt;=1,MIN(ROUND($D$14/$D$16,0),9),1/MIN(ROUND($D$16/$D$14,0),9))*IF($E$14/$E$16&gt;=1,MIN(ROUND($E$14/$E$16,0),9),1/MIN(ROUND($E$16/$E$14,0),9)))^(1/3)</f>
        <v>0.629960524947437</v>
      </c>
      <c r="E44" s="13" t="n">
        <f aca="false">(IF($C$14/$C$17&gt;=1,MIN(ROUND($C$14/$C$17,0),9),1/MIN(ROUND($C$17/$C$14,0),9))*IF($D$14/$D$17&gt;=1,MIN(ROUND($D$14/$D$17,0),9),1/MIN(ROUND($D$17/$D$14,0),9))*IF($E$14/$E$17&gt;=1,MIN(ROUND($E$14/$E$17,0),9),1/MIN(ROUND($E$17/$E$14,0),9)))^(1/3)</f>
        <v>0.5</v>
      </c>
      <c r="F44" s="13" t="n">
        <f aca="false">GEOMEAN(B44:E44)</f>
        <v>0.749153538438341</v>
      </c>
      <c r="G44" s="15" t="n">
        <f aca="false">F44/SUM($F$44:$F$47)</f>
        <v>0.18209428520626</v>
      </c>
    </row>
    <row r="45" customFormat="false" ht="14.25" hidden="false" customHeight="false" outlineLevel="0" collapsed="false">
      <c r="A45" s="17" t="s">
        <v>25</v>
      </c>
      <c r="B45" s="13" t="n">
        <f aca="false">(IF($C$15/$C$14&gt;=1,MIN(ROUND($C$15/$C$14,0),9),1/MIN(ROUND($C$14/$C$15,0),9))*IF($D$15/$D$14&gt;=1,MIN(ROUND($D$15/$D$14,0),9),1/MIN(ROUND($D$14/$D$15,0),9))*IF($E$15/$E$14&gt;=1,MIN(ROUND($E$15/$E$14,0),9),1/MIN(ROUND($E$14/$E$15,0),9)))^(1/3)</f>
        <v>1</v>
      </c>
      <c r="C45" s="13" t="n">
        <v>1</v>
      </c>
      <c r="D45" s="13" t="n">
        <f aca="false">(IF($C$15/$C$16&gt;=1,MIN(ROUND($C$15/$C$16,0),9),1/MIN(ROUND($C$16/$C$15,0),9))*IF($D$15/$D$16&gt;=1,MIN(ROUND($D$15/$D$16,0),9),1/MIN(ROUND($D$16/$D$15,0),9))*IF($E$15/$E$16&gt;=1,MIN(ROUND($E$15/$E$16,0),9),1/MIN(ROUND($E$16/$E$15,0),9)))^(1/3)</f>
        <v>0.7937005259841</v>
      </c>
      <c r="E45" s="13" t="n">
        <f aca="false">(IF($C$15/$C$17&gt;=1,MIN(ROUND($C$15/$C$17,0),9),1/MIN(ROUND($C$17/$C$15,0),9))*IF($D$15/$D$17&gt;=1,MIN(ROUND($D$15/$D$17,0),9),1/MIN(ROUND($D$17/$D$15,0),9))*IF($E$15/$E$17&gt;=1,MIN(ROUND($E$15/$E$17,0),9),1/MIN(ROUND($E$17/$E$15,0),9)))^(1/3)</f>
        <v>0.629960524947437</v>
      </c>
      <c r="F45" s="13" t="n">
        <f aca="false">GEOMEAN(B45:E45)</f>
        <v>0.840896415253715</v>
      </c>
      <c r="G45" s="15" t="n">
        <f aca="false">F45/SUM($F$44:$F$47)</f>
        <v>0.20439392435805</v>
      </c>
    </row>
    <row r="46" customFormat="false" ht="14.25" hidden="false" customHeight="false" outlineLevel="0" collapsed="false">
      <c r="A46" s="17" t="s">
        <v>27</v>
      </c>
      <c r="B46" s="13" t="n">
        <f aca="false">(IF($C$16/$C$14&gt;=1,MIN(ROUND($C$16/$C$14,0),9),1/MIN(ROUND($C$14/$C$16,0),9))*IF($D$16/$D$14&gt;=1,MIN(ROUND($D$16/$D$14,0),9),1/MIN(ROUND($D$14/$D$16,0),9))*IF($E$16/$E$14&gt;=1,MIN(ROUND($E$16/$E$14,0),9),1/MIN(ROUND($E$14/$E$16,0),9)))^(1/3)</f>
        <v>1.5874010519682</v>
      </c>
      <c r="C46" s="13" t="n">
        <f aca="false">(IF($C$16/$C$15&gt;=1,MIN(ROUND($C$16/$C$15,0),9),1/MIN(ROUND($C$15/$C$16,0),9))*IF($D$16/$D$15&gt;=1,MIN(ROUND($D$16/$D$15,0),9),1/MIN(ROUND($D$15/$D$16,0),9))*IF($E$16/$E$15&gt;=1,MIN(ROUND($E$16/$E$15,0),9),1/MIN(ROUND($E$15/$E$16,0),9)))^(1/3)</f>
        <v>1.25992104989487</v>
      </c>
      <c r="D46" s="13" t="n">
        <v>1</v>
      </c>
      <c r="E46" s="13" t="n">
        <f aca="false">(IF($C$16/$C$17&gt;=1,MIN(ROUND($C$16/$C$17,0),9),1/MIN(ROUND($C$17/$C$16,0),9))*IF($D$16/$D$17&gt;=1,MIN(ROUND($D$16/$D$17,0),9),1/MIN(ROUND($D$17/$D$16,0),9))*IF($E$16/$E$17&gt;=1,MIN(ROUND($E$16/$E$17,0),9),1/MIN(ROUND($E$17/$E$16,0),9)))^(1/3)</f>
        <v>1</v>
      </c>
      <c r="F46" s="13" t="n">
        <f aca="false">GEOMEAN(B46:E46)</f>
        <v>1.18920711500272</v>
      </c>
      <c r="G46" s="15" t="n">
        <f aca="false">F46/SUM($F$44:$F$47)</f>
        <v>0.289056659893814</v>
      </c>
    </row>
    <row r="47" customFormat="false" ht="14.25" hidden="false" customHeight="false" outlineLevel="0" collapsed="false">
      <c r="A47" s="17" t="s">
        <v>29</v>
      </c>
      <c r="B47" s="13" t="n">
        <f aca="false">(IF($C$17/$C$14&gt;=1,MIN(ROUND($C$17/$C$14,0),9),1/MIN(ROUND($C$14/$C$17,0),9))*IF($D$17/$D$14&gt;=1,MIN(ROUND($D$17/$D$14,0),9),1/MIN(ROUND($D$14/$D$17,0),9))*IF($E$17/$E$14&gt;=1,MIN(ROUND($E$17/$E$14,0),9),1/MIN(ROUND($E$14/$E$17,0),9)))^(1/3)</f>
        <v>2</v>
      </c>
      <c r="C47" s="13" t="n">
        <f aca="false">(IF($C$17/$C$15&gt;=1,MIN(ROUND($C$17/$C$15,0),9),1/MIN(ROUND($C$15/$C$17,0),9))*IF($D$17/$D$15&gt;=1,MIN(ROUND($D$17/$D$15,0),9),1/MIN(ROUND($D$15/$D$17,0),9))*IF($E$17/$E$15&gt;=1,MIN(ROUND($E$17/$E$15,0),9),1/MIN(ROUND($E$15/$E$17,0),9)))^(1/3)</f>
        <v>1.5874010519682</v>
      </c>
      <c r="D47" s="13" t="n">
        <f aca="false">(IF($C$17/$C$16&gt;=1,MIN(ROUND($C$17/$C$16,0),9),1/MIN(ROUND($C$16/$C$17,0),9))*IF($D$17/$D$16&gt;=1,MIN(ROUND($D$17/$D$16,0),9),1/MIN(ROUND($D$16/$D$17,0),9))*IF($E$17/$E$16&gt;=1,MIN(ROUND($E$17/$E$16,0),9),1/MIN(ROUND($E$16/$E$17,0),9)))^(1/3)</f>
        <v>1</v>
      </c>
      <c r="E47" s="13" t="n">
        <v>1</v>
      </c>
      <c r="F47" s="13" t="n">
        <f aca="false">GEOMEAN(B47:E47)</f>
        <v>1.33483985417003</v>
      </c>
      <c r="G47" s="15" t="n">
        <f aca="false">F47/SUM($F$44:$F$47)</f>
        <v>0.324455130541876</v>
      </c>
    </row>
    <row r="48" customFormat="false" ht="14.25" hidden="false" customHeight="false" outlineLevel="0" collapsed="false">
      <c r="A48" s="9" t="s">
        <v>61</v>
      </c>
      <c r="B48" s="13" t="n">
        <f aca="false">SUM(B44:B47)</f>
        <v>5.5874010519682</v>
      </c>
      <c r="C48" s="13" t="n">
        <f aca="false">SUM(C44:C47)</f>
        <v>4.84732210186307</v>
      </c>
      <c r="D48" s="13" t="n">
        <f aca="false">SUM(D44:D47)</f>
        <v>3.42366105093154</v>
      </c>
      <c r="E48" s="13" t="n">
        <f aca="false">SUM(E44:E47)</f>
        <v>3.12996052494744</v>
      </c>
    </row>
    <row r="49" customFormat="false" ht="14.25" hidden="false" customHeight="false" outlineLevel="0" collapsed="false">
      <c r="A49" s="9" t="s">
        <v>62</v>
      </c>
      <c r="B49" s="13" t="n">
        <f aca="false">G44</f>
        <v>0.18209428520626</v>
      </c>
      <c r="C49" s="13" t="n">
        <f aca="false">G45</f>
        <v>0.20439392435805</v>
      </c>
      <c r="D49" s="13" t="n">
        <f aca="false">G46</f>
        <v>0.289056659893814</v>
      </c>
      <c r="E49" s="13" t="n">
        <f aca="false">G47</f>
        <v>0.324455130541876</v>
      </c>
    </row>
    <row r="50" customFormat="false" ht="14.25" hidden="false" customHeight="false" outlineLevel="0" collapsed="false">
      <c r="A50" s="9" t="s">
        <v>63</v>
      </c>
      <c r="B50" s="18" t="n">
        <f aca="false">SUMPRODUCT(B48:E48,B49:E49)</f>
        <v>4.01336076644971</v>
      </c>
      <c r="C50" s="9" t="s">
        <v>64</v>
      </c>
      <c r="D50" s="18" t="n">
        <f aca="false">(B50-4)/3</f>
        <v>0.00445358881657102</v>
      </c>
      <c r="E50" s="9" t="s">
        <v>65</v>
      </c>
      <c r="F50" s="18" t="n">
        <f aca="false">D50/0.9</f>
        <v>0.00494843201841225</v>
      </c>
      <c r="G50" s="19" t="str">
        <f aca="false">IF(F50&lt;0.1,"согласована","требует пересмотра")</f>
        <v>согласована</v>
      </c>
    </row>
    <row r="52" customFormat="false" ht="15" hidden="false" customHeight="false" outlineLevel="0" collapsed="false">
      <c r="A52" s="1" t="s">
        <v>67</v>
      </c>
    </row>
    <row r="53" customFormat="false" ht="14.25" hidden="false" customHeight="false" outlineLevel="0" collapsed="false">
      <c r="A53" s="3"/>
      <c r="B53" s="3" t="s">
        <v>23</v>
      </c>
      <c r="C53" s="3" t="s">
        <v>25</v>
      </c>
      <c r="D53" s="3" t="s">
        <v>27</v>
      </c>
      <c r="E53" s="3" t="s">
        <v>29</v>
      </c>
      <c r="F53" s="3" t="s">
        <v>59</v>
      </c>
      <c r="G53" s="3" t="s">
        <v>60</v>
      </c>
    </row>
    <row r="54" customFormat="false" ht="14.25" hidden="false" customHeight="false" outlineLevel="0" collapsed="false">
      <c r="A54" s="17" t="s">
        <v>23</v>
      </c>
      <c r="B54" s="13" t="n">
        <v>1</v>
      </c>
      <c r="C54" s="13" t="n">
        <f aca="false">(IF($C$18/$C$19&gt;=1,MIN(ROUND($C$18/$C$19,0),9),1/MIN(ROUND($C$19/$C$18,0),9))*IF($D$18/$D$19&gt;=1,MIN(ROUND($D$18/$D$19,0),9),1/MIN(ROUND($D$19/$D$18,0),9))*IF($E$18/$E$19&gt;=1,MIN(ROUND($E$18/$E$19,0),9),1/MIN(ROUND($E$19/$E$18,0),9)))^(1/3)</f>
        <v>1.5874010519682</v>
      </c>
      <c r="D54" s="13" t="n">
        <f aca="false">(IF($C$18/$C$20&gt;=1,MIN(ROUND($C$18/$C$20,0),9),1/MIN(ROUND($C$20/$C$18,0),9))*IF($D$18/$D$20&gt;=1,MIN(ROUND($D$18/$D$20,0),9),1/MIN(ROUND($D$20/$D$18,0),9))*IF($E$18/$E$20&gt;=1,MIN(ROUND($E$18/$E$20,0),9),1/MIN(ROUND($E$20/$E$18,0),9)))^(1/3)</f>
        <v>1.25992104989487</v>
      </c>
      <c r="E54" s="13" t="n">
        <f aca="false">(IF($C$18/$C$21&gt;=1,MIN(ROUND($C$18/$C$21,0),9),1/MIN(ROUND($C$21/$C$18,0),9))*IF($D$18/$D$21&gt;=1,MIN(ROUND($D$18/$D$21,0),9),1/MIN(ROUND($D$21/$D$18,0),9))*IF($E$18/$E$21&gt;=1,MIN(ROUND($E$18/$E$21,0),9),1/MIN(ROUND($E$21/$E$18,0),9)))^(1/3)</f>
        <v>2</v>
      </c>
      <c r="F54" s="13" t="n">
        <f aca="false">GEOMEAN(B54:E54)</f>
        <v>1.4142135623731</v>
      </c>
      <c r="G54" s="15" t="n">
        <f aca="false">F54/SUM($F$54:$F$57)</f>
        <v>0.345783378021236</v>
      </c>
    </row>
    <row r="55" customFormat="false" ht="14.25" hidden="false" customHeight="false" outlineLevel="0" collapsed="false">
      <c r="A55" s="17" t="s">
        <v>25</v>
      </c>
      <c r="B55" s="13" t="n">
        <f aca="false">(IF($C$19/$C$18&gt;=1,MIN(ROUND($C$19/$C$18,0),9),1/MIN(ROUND($C$18/$C$19,0),9))*IF($D$19/$D$18&gt;=1,MIN(ROUND($D$19/$D$18,0),9),1/MIN(ROUND($D$18/$D$19,0),9))*IF($E$19/$E$18&gt;=1,MIN(ROUND($E$19/$E$18,0),9),1/MIN(ROUND($E$18/$E$19,0),9)))^(1/3)</f>
        <v>0.629960524947437</v>
      </c>
      <c r="C55" s="13" t="n">
        <v>1</v>
      </c>
      <c r="D55" s="13" t="n">
        <f aca="false">(IF($C$19/$C$20&gt;=1,MIN(ROUND($C$19/$C$20,0),9),1/MIN(ROUND($C$20/$C$19,0),9))*IF($D$19/$D$20&gt;=1,MIN(ROUND($D$19/$D$20,0),9),1/MIN(ROUND($D$20/$D$19,0),9))*IF($E$19/$E$20&gt;=1,MIN(ROUND($E$19/$E$20,0),9),1/MIN(ROUND($E$20/$E$19,0),9)))^(1/3)</f>
        <v>1</v>
      </c>
      <c r="E55" s="13" t="n">
        <f aca="false">(IF($C$19/$C$21&gt;=1,MIN(ROUND($C$19/$C$21,0),9),1/MIN(ROUND($C$21/$C$19,0),9))*IF($D$19/$D$21&gt;=1,MIN(ROUND($D$19/$D$21,0),9),1/MIN(ROUND($D$21/$D$19,0),9))*IF($E$19/$E$21&gt;=1,MIN(ROUND($E$19/$E$21,0),9),1/MIN(ROUND($E$21/$E$19,0),9)))^(1/3)</f>
        <v>1</v>
      </c>
      <c r="F55" s="13" t="n">
        <f aca="false">GEOMEAN(B55:E55)</f>
        <v>0.890898718140339</v>
      </c>
      <c r="G55" s="15" t="n">
        <f aca="false">F55/SUM($F$54:$F$57)</f>
        <v>0.217829878336356</v>
      </c>
    </row>
    <row r="56" customFormat="false" ht="14.25" hidden="false" customHeight="false" outlineLevel="0" collapsed="false">
      <c r="A56" s="17" t="s">
        <v>27</v>
      </c>
      <c r="B56" s="13" t="n">
        <f aca="false">(IF($C$20/$C$18&gt;=1,MIN(ROUND($C$20/$C$18,0),9),1/MIN(ROUND($C$18/$C$20,0),9))*IF($D$20/$D$18&gt;=1,MIN(ROUND($D$20/$D$18,0),9),1/MIN(ROUND($D$18/$D$20,0),9))*IF($E$20/$E$18&gt;=1,MIN(ROUND($E$20/$E$18,0),9),1/MIN(ROUND($E$18/$E$20,0),9)))^(1/3)</f>
        <v>0.7937005259841</v>
      </c>
      <c r="C56" s="13" t="n">
        <f aca="false">(IF($C$20/$C$19&gt;=1,MIN(ROUND($C$20/$C$19,0),9),1/MIN(ROUND($C$19/$C$20,0),9))*IF($D$20/$D$19&gt;=1,MIN(ROUND($D$20/$D$19,0),9),1/MIN(ROUND($D$19/$D$20,0),9))*IF($E$20/$E$19&gt;=1,MIN(ROUND($E$20/$E$19,0),9),1/MIN(ROUND($E$19/$E$20,0),9)))^(1/3)</f>
        <v>1</v>
      </c>
      <c r="D56" s="13" t="n">
        <v>1</v>
      </c>
      <c r="E56" s="13" t="n">
        <f aca="false">(IF($C$20/$C$21&gt;=1,MIN(ROUND($C$20/$C$21,0),9),1/MIN(ROUND($C$21/$C$20,0),9))*IF($D$20/$D$21&gt;=1,MIN(ROUND($D$20/$D$21,0),9),1/MIN(ROUND($D$21/$D$20,0),9))*IF($E$20/$E$21&gt;=1,MIN(ROUND($E$20/$E$21,0),9),1/MIN(ROUND($E$21/$E$20,0),9)))^(1/3)</f>
        <v>1</v>
      </c>
      <c r="F56" s="13" t="n">
        <f aca="false">GEOMEAN(B56:E56)</f>
        <v>0.943874312681694</v>
      </c>
      <c r="G56" s="15" t="n">
        <f aca="false">F56/SUM($F$54:$F$57)</f>
        <v>0.230782716946144</v>
      </c>
    </row>
    <row r="57" customFormat="false" ht="14.25" hidden="false" customHeight="false" outlineLevel="0" collapsed="false">
      <c r="A57" s="17" t="s">
        <v>29</v>
      </c>
      <c r="B57" s="13" t="n">
        <f aca="false">(IF($C$21/$C$18&gt;=1,MIN(ROUND($C$21/$C$18,0),9),1/MIN(ROUND($C$18/$C$21,0),9))*IF($D$21/$D$18&gt;=1,MIN(ROUND($D$21/$D$18,0),9),1/MIN(ROUND($D$18/$D$21,0),9))*IF($E$21/$E$18&gt;=1,MIN(ROUND($E$21/$E$18,0),9),1/MIN(ROUND($E$18/$E$21,0),9)))^(1/3)</f>
        <v>0.5</v>
      </c>
      <c r="C57" s="13" t="n">
        <f aca="false">(IF($C$21/$C$19&gt;=1,MIN(ROUND($C$21/$C$19,0),9),1/MIN(ROUND($C$19/$C$21,0),9))*IF($D$21/$D$19&gt;=1,MIN(ROUND($D$21/$D$19,0),9),1/MIN(ROUND($D$19/$D$21,0),9))*IF($E$21/$E$19&gt;=1,MIN(ROUND($E$21/$E$19,0),9),1/MIN(ROUND($E$19/$E$21,0),9)))^(1/3)</f>
        <v>1</v>
      </c>
      <c r="D57" s="13" t="n">
        <f aca="false">(IF($C$21/$C$20&gt;=1,MIN(ROUND($C$21/$C$20,0),9),1/MIN(ROUND($C$20/$C$21,0),9))*IF($D$21/$D$20&gt;=1,MIN(ROUND($D$21/$D$20,0),9),1/MIN(ROUND($D$20/$D$21,0),9))*IF($E$21/$E$20&gt;=1,MIN(ROUND($E$21/$E$20,0),9),1/MIN(ROUND($E$20/$E$21,0),9)))^(1/3)</f>
        <v>1</v>
      </c>
      <c r="E57" s="13" t="n">
        <v>1</v>
      </c>
      <c r="F57" s="13" t="n">
        <f aca="false">GEOMEAN(B57:E57)</f>
        <v>0.840896415253715</v>
      </c>
      <c r="G57" s="15" t="n">
        <f aca="false">F57/SUM($F$54:$F$57)</f>
        <v>0.205604026696265</v>
      </c>
    </row>
    <row r="58" customFormat="false" ht="14.25" hidden="false" customHeight="false" outlineLevel="0" collapsed="false">
      <c r="A58" s="9" t="s">
        <v>61</v>
      </c>
      <c r="B58" s="13" t="n">
        <f aca="false">SUM(B54:B57)</f>
        <v>2.92366105093154</v>
      </c>
      <c r="C58" s="13" t="n">
        <f aca="false">SUM(C54:C57)</f>
        <v>4.5874010519682</v>
      </c>
      <c r="D58" s="13" t="n">
        <f aca="false">SUM(D54:D57)</f>
        <v>4.25992104989487</v>
      </c>
      <c r="E58" s="13" t="n">
        <f aca="false">SUM(E54:E57)</f>
        <v>5</v>
      </c>
    </row>
    <row r="59" customFormat="false" ht="14.25" hidden="false" customHeight="false" outlineLevel="0" collapsed="false">
      <c r="A59" s="9" t="s">
        <v>62</v>
      </c>
      <c r="B59" s="13" t="n">
        <f aca="false">G54</f>
        <v>0.345783378021236</v>
      </c>
      <c r="C59" s="13" t="n">
        <f aca="false">G55</f>
        <v>0.217829878336356</v>
      </c>
      <c r="D59" s="13" t="n">
        <f aca="false">G56</f>
        <v>0.230782716946144</v>
      </c>
      <c r="E59" s="13" t="n">
        <f aca="false">G57</f>
        <v>0.205604026696265</v>
      </c>
    </row>
    <row r="60" customFormat="false" ht="14.25" hidden="false" customHeight="false" outlineLevel="0" collapsed="false">
      <c r="A60" s="9" t="s">
        <v>63</v>
      </c>
      <c r="B60" s="18" t="n">
        <f aca="false">SUMPRODUCT(B58:E58,B59:E59)</f>
        <v>4.02136269476266</v>
      </c>
      <c r="C60" s="9" t="s">
        <v>64</v>
      </c>
      <c r="D60" s="18" t="n">
        <f aca="false">(B60-4)/3</f>
        <v>0.00712089825421932</v>
      </c>
      <c r="E60" s="9" t="s">
        <v>65</v>
      </c>
      <c r="F60" s="18" t="n">
        <f aca="false">D60/0.9</f>
        <v>0.0079121091713548</v>
      </c>
      <c r="G60" s="19" t="str">
        <f aca="false">IF(F60&lt;0.1,"согласована","требует пересмотра")</f>
        <v>согласована</v>
      </c>
    </row>
    <row r="62" customFormat="false" ht="15" hidden="false" customHeight="false" outlineLevel="0" collapsed="false">
      <c r="A62" s="1" t="s">
        <v>68</v>
      </c>
    </row>
    <row r="63" customFormat="false" ht="14.25" hidden="false" customHeight="false" outlineLevel="0" collapsed="false">
      <c r="A63" s="3"/>
      <c r="B63" s="3" t="s">
        <v>23</v>
      </c>
      <c r="C63" s="3" t="s">
        <v>25</v>
      </c>
      <c r="D63" s="3" t="s">
        <v>27</v>
      </c>
      <c r="E63" s="3" t="s">
        <v>29</v>
      </c>
      <c r="F63" s="3" t="s">
        <v>59</v>
      </c>
      <c r="G63" s="3" t="s">
        <v>60</v>
      </c>
    </row>
    <row r="64" customFormat="false" ht="14.25" hidden="false" customHeight="false" outlineLevel="0" collapsed="false">
      <c r="A64" s="17" t="s">
        <v>23</v>
      </c>
      <c r="B64" s="13" t="n">
        <v>1</v>
      </c>
      <c r="C64" s="13" t="n">
        <f aca="false">(IF($C$22/$C$23&gt;=1,MIN(ROUND($C$22/$C$23,0),9),1/MIN(ROUND($C$23/$C$22,0),9))*IF($D$22/$D$23&gt;=1,MIN(ROUND($D$22/$D$23,0),9),1/MIN(ROUND($D$23/$D$22,0),9))*IF($E$22/$E$23&gt;=1,MIN(ROUND($E$22/$E$23,0),9),1/MIN(ROUND($E$23/$E$22,0),9)))^(1/3)</f>
        <v>1.5874010519682</v>
      </c>
      <c r="D64" s="13" t="n">
        <f aca="false">(IF($C$22/$C$24&gt;=1,MIN(ROUND($C$22/$C$24,0),9),1/MIN(ROUND($C$24/$C$22,0),9))*IF($D$22/$D$24&gt;=1,MIN(ROUND($D$22/$D$24,0),9),1/MIN(ROUND($D$24/$D$22,0),9))*IF($E$22/$E$24&gt;=1,MIN(ROUND($E$22/$E$24,0),9),1/MIN(ROUND($E$24/$E$22,0),9)))^(1/3)</f>
        <v>1</v>
      </c>
      <c r="E64" s="13" t="n">
        <f aca="false">(IF($C$22/$C$25&gt;=1,MIN(ROUND($C$22/$C$25,0),9),1/MIN(ROUND($C$25/$C$22,0),9))*IF($D$22/$D$25&gt;=1,MIN(ROUND($D$22/$D$25,0),9),1/MIN(ROUND($D$25/$D$22,0),9))*IF($E$22/$E$25&gt;=1,MIN(ROUND($E$22/$E$25,0),9),1/MIN(ROUND($E$25/$E$22,0),9)))^(1/3)</f>
        <v>1</v>
      </c>
      <c r="F64" s="13" t="n">
        <f aca="false">GEOMEAN(B64:E64)</f>
        <v>1.12246204830937</v>
      </c>
      <c r="G64" s="15" t="n">
        <f aca="false">F64/SUM($F$64:$F$67)</f>
        <v>0.279681322868545</v>
      </c>
    </row>
    <row r="65" customFormat="false" ht="14.25" hidden="false" customHeight="false" outlineLevel="0" collapsed="false">
      <c r="A65" s="17" t="s">
        <v>25</v>
      </c>
      <c r="B65" s="13" t="n">
        <f aca="false">(IF($C$23/$C$22&gt;=1,MIN(ROUND($C$23/$C$22,0),9),1/MIN(ROUND($C$22/$C$23,0),9))*IF($D$23/$D$22&gt;=1,MIN(ROUND($D$23/$D$22,0),9),1/MIN(ROUND($D$22/$D$23,0),9))*IF($E$23/$E$22&gt;=1,MIN(ROUND($E$23/$E$22,0),9),1/MIN(ROUND($E$22/$E$23,0),9)))^(1/3)</f>
        <v>0.629960524947437</v>
      </c>
      <c r="C65" s="13" t="n">
        <v>1</v>
      </c>
      <c r="D65" s="13" t="n">
        <f aca="false">(IF($C$23/$C$24&gt;=1,MIN(ROUND($C$23/$C$24,0),9),1/MIN(ROUND($C$24/$C$23,0),9))*IF($D$23/$D$24&gt;=1,MIN(ROUND($D$23/$D$24,0),9),1/MIN(ROUND($D$24/$D$23,0),9))*IF($E$23/$E$24&gt;=1,MIN(ROUND($E$23/$E$24,0),9),1/MIN(ROUND($E$24/$E$23,0),9)))^(1/3)</f>
        <v>1</v>
      </c>
      <c r="E65" s="13" t="n">
        <f aca="false">(IF($C$23/$C$25&gt;=1,MIN(ROUND($C$23/$C$25,0),9),1/MIN(ROUND($C$25/$C$23,0),9))*IF($D$23/$D$25&gt;=1,MIN(ROUND($D$23/$D$25,0),9),1/MIN(ROUND($D$25/$D$23,0),9))*IF($E$23/$E$25&gt;=1,MIN(ROUND($E$23/$E$25,0),9),1/MIN(ROUND($E$25/$E$23,0),9)))^(1/3)</f>
        <v>1</v>
      </c>
      <c r="F65" s="13" t="n">
        <f aca="false">GEOMEAN(B65:E65)</f>
        <v>0.890898718140339</v>
      </c>
      <c r="G65" s="15" t="n">
        <f aca="false">F65/SUM($F$64:$F$67)</f>
        <v>0.221983213068693</v>
      </c>
    </row>
    <row r="66" customFormat="false" ht="14.25" hidden="false" customHeight="false" outlineLevel="0" collapsed="false">
      <c r="A66" s="17" t="s">
        <v>27</v>
      </c>
      <c r="B66" s="13" t="n">
        <f aca="false">(IF($C$24/$C$22&gt;=1,MIN(ROUND($C$24/$C$22,0),9),1/MIN(ROUND($C$22/$C$24,0),9))*IF($D$24/$D$22&gt;=1,MIN(ROUND($D$24/$D$22,0),9),1/MIN(ROUND($D$22/$D$24,0),9))*IF($E$24/$E$22&gt;=1,MIN(ROUND($E$24/$E$22,0),9),1/MIN(ROUND($E$22/$E$24,0),9)))^(1/3)</f>
        <v>1</v>
      </c>
      <c r="C66" s="13" t="n">
        <f aca="false">(IF($C$24/$C$23&gt;=1,MIN(ROUND($C$24/$C$23,0),9),1/MIN(ROUND($C$23/$C$24,0),9))*IF($D$24/$D$23&gt;=1,MIN(ROUND($D$24/$D$23,0),9),1/MIN(ROUND($D$23/$D$24,0),9))*IF($E$24/$E$23&gt;=1,MIN(ROUND($E$24/$E$23,0),9),1/MIN(ROUND($E$23/$E$24,0),9)))^(1/3)</f>
        <v>1</v>
      </c>
      <c r="D66" s="13" t="n">
        <v>1</v>
      </c>
      <c r="E66" s="13" t="n">
        <f aca="false">(IF($C$24/$C$25&gt;=1,MIN(ROUND($C$24/$C$25,0),9),1/MIN(ROUND($C$25/$C$24,0),9))*IF($D$24/$D$25&gt;=1,MIN(ROUND($D$24/$D$25,0),9),1/MIN(ROUND($D$25/$D$24,0),9))*IF($E$24/$E$25&gt;=1,MIN(ROUND($E$24/$E$25,0),9),1/MIN(ROUND($E$25/$E$24,0),9)))^(1/3)</f>
        <v>1</v>
      </c>
      <c r="F66" s="13" t="n">
        <f aca="false">GEOMEAN(B66:E66)</f>
        <v>1</v>
      </c>
      <c r="G66" s="15" t="n">
        <f aca="false">F66/SUM($F$64:$F$67)</f>
        <v>0.249167732031381</v>
      </c>
    </row>
    <row r="67" customFormat="false" ht="14.25" hidden="false" customHeight="false" outlineLevel="0" collapsed="false">
      <c r="A67" s="17" t="s">
        <v>29</v>
      </c>
      <c r="B67" s="13" t="n">
        <f aca="false">(IF($C$25/$C$22&gt;=1,MIN(ROUND($C$25/$C$22,0),9),1/MIN(ROUND($C$22/$C$25,0),9))*IF($D$25/$D$22&gt;=1,MIN(ROUND($D$25/$D$22,0),9),1/MIN(ROUND($D$22/$D$25,0),9))*IF($E$25/$E$22&gt;=1,MIN(ROUND($E$25/$E$22,0),9),1/MIN(ROUND($E$22/$E$25,0),9)))^(1/3)</f>
        <v>1</v>
      </c>
      <c r="C67" s="13" t="n">
        <f aca="false">(IF($C$25/$C$23&gt;=1,MIN(ROUND($C$25/$C$23,0),9),1/MIN(ROUND($C$23/$C$25,0),9))*IF($D$25/$D$23&gt;=1,MIN(ROUND($D$25/$D$23,0),9),1/MIN(ROUND($D$23/$D$25,0),9))*IF($E$25/$E$23&gt;=1,MIN(ROUND($E$25/$E$23,0),9),1/MIN(ROUND($E$23/$E$25,0),9)))^(1/3)</f>
        <v>1</v>
      </c>
      <c r="D67" s="13" t="n">
        <f aca="false">(IF($C$25/$C$24&gt;=1,MIN(ROUND($C$25/$C$24,0),9),1/MIN(ROUND($C$24/$C$25,0),9))*IF($D$25/$D$24&gt;=1,MIN(ROUND($D$25/$D$24,0),9),1/MIN(ROUND($D$24/$D$25,0),9))*IF($E$25/$E$24&gt;=1,MIN(ROUND($E$25/$E$24,0),9),1/MIN(ROUND($E$24/$E$25,0),9)))^(1/3)</f>
        <v>1</v>
      </c>
      <c r="E67" s="13" t="n">
        <v>1</v>
      </c>
      <c r="F67" s="13" t="n">
        <f aca="false">GEOMEAN(B67:E67)</f>
        <v>1</v>
      </c>
      <c r="G67" s="15" t="n">
        <f aca="false">F67/SUM($F$64:$F$67)</f>
        <v>0.249167732031381</v>
      </c>
    </row>
    <row r="68" customFormat="false" ht="14.25" hidden="false" customHeight="false" outlineLevel="0" collapsed="false">
      <c r="A68" s="9" t="s">
        <v>61</v>
      </c>
      <c r="B68" s="13" t="n">
        <f aca="false">SUM(B64:B67)</f>
        <v>3.62996052494744</v>
      </c>
      <c r="C68" s="13" t="n">
        <f aca="false">SUM(C64:C67)</f>
        <v>4.5874010519682</v>
      </c>
      <c r="D68" s="13" t="n">
        <f aca="false">SUM(D64:D67)</f>
        <v>4</v>
      </c>
      <c r="E68" s="13" t="n">
        <f aca="false">SUM(E64:E67)</f>
        <v>4</v>
      </c>
    </row>
    <row r="69" customFormat="false" ht="14.25" hidden="false" customHeight="false" outlineLevel="0" collapsed="false">
      <c r="A69" s="9" t="s">
        <v>62</v>
      </c>
      <c r="B69" s="13" t="n">
        <f aca="false">G64</f>
        <v>0.279681322868545</v>
      </c>
      <c r="C69" s="13" t="n">
        <f aca="false">G65</f>
        <v>0.221983213068693</v>
      </c>
      <c r="D69" s="13" t="n">
        <f aca="false">G66</f>
        <v>0.249167732031381</v>
      </c>
      <c r="E69" s="13" t="n">
        <f aca="false">G67</f>
        <v>0.249167732031381</v>
      </c>
    </row>
    <row r="70" customFormat="false" ht="14.25" hidden="false" customHeight="false" outlineLevel="0" collapsed="false">
      <c r="A70" s="9" t="s">
        <v>63</v>
      </c>
      <c r="B70" s="18" t="n">
        <f aca="false">SUMPRODUCT(B68:E68,B69:E69)</f>
        <v>4.02690004297955</v>
      </c>
      <c r="C70" s="9" t="s">
        <v>64</v>
      </c>
      <c r="D70" s="18" t="n">
        <f aca="false">(B70-4)/3</f>
        <v>0.00896668099318276</v>
      </c>
      <c r="E70" s="9" t="s">
        <v>65</v>
      </c>
      <c r="F70" s="18" t="n">
        <f aca="false">D70/0.9</f>
        <v>0.00996297888131418</v>
      </c>
      <c r="G70" s="19" t="str">
        <f aca="false">IF(F70&lt;0.1,"согласована","требует пересмотра")</f>
        <v>согласована</v>
      </c>
    </row>
    <row r="72" customFormat="false" ht="15" hidden="false" customHeight="false" outlineLevel="0" collapsed="false">
      <c r="A72" s="1" t="s">
        <v>69</v>
      </c>
    </row>
    <row r="73" customFormat="false" ht="14.25" hidden="false" customHeight="false" outlineLevel="0" collapsed="false">
      <c r="A73" s="3"/>
      <c r="B73" s="3" t="s">
        <v>23</v>
      </c>
      <c r="C73" s="3" t="s">
        <v>25</v>
      </c>
      <c r="D73" s="3" t="s">
        <v>27</v>
      </c>
      <c r="E73" s="3" t="s">
        <v>29</v>
      </c>
      <c r="F73" s="3" t="s">
        <v>59</v>
      </c>
      <c r="G73" s="3" t="s">
        <v>60</v>
      </c>
    </row>
    <row r="74" customFormat="false" ht="14.25" hidden="false" customHeight="false" outlineLevel="0" collapsed="false">
      <c r="A74" s="17" t="s">
        <v>23</v>
      </c>
      <c r="B74" s="13" t="n">
        <v>1</v>
      </c>
      <c r="C74" s="13" t="n">
        <f aca="false">(IF($C$26/$C$27&gt;=1,MIN(ROUND($C$26/$C$27,0),9),1/MIN(ROUND($C$27/$C$26,0),9))*IF($D$26/$D$27&gt;=1,MIN(ROUND($D$26/$D$27,0),9),1/MIN(ROUND($D$27/$D$26,0),9))*IF($E$26/$E$27&gt;=1,MIN(ROUND($E$26/$E$27,0),9),1/MIN(ROUND($E$27/$E$26,0),9)))^(1/3)</f>
        <v>1</v>
      </c>
      <c r="D74" s="13" t="n">
        <f aca="false">(IF($C$26/$C$28&gt;=1,MIN(ROUND($C$26/$C$28,0),9),1/MIN(ROUND($C$28/$C$26,0),9))*IF($D$26/$D$28&gt;=1,MIN(ROUND($D$26/$D$28,0),9),1/MIN(ROUND($D$28/$D$26,0),9))*IF($E$26/$E$28&gt;=1,MIN(ROUND($E$26/$E$28,0),9),1/MIN(ROUND($E$28/$E$26,0),9)))^(1/3)</f>
        <v>1</v>
      </c>
      <c r="E74" s="13" t="n">
        <f aca="false">(IF($C$26/$C$29&gt;=1,MIN(ROUND($C$26/$C$29,0),9),1/MIN(ROUND($C$29/$C$26,0),9))*IF($D$26/$D$29&gt;=1,MIN(ROUND($D$26/$D$29,0),9),1/MIN(ROUND($D$29/$D$26,0),9))*IF($E$26/$E$29&gt;=1,MIN(ROUND($E$26/$E$29,0),9),1/MIN(ROUND($E$29/$E$26,0),9)))^(1/3)</f>
        <v>1</v>
      </c>
      <c r="F74" s="13" t="n">
        <f aca="false">GEOMEAN(B74:E74)</f>
        <v>1</v>
      </c>
      <c r="G74" s="15" t="n">
        <f aca="false">F74/SUM($F$74:$F$77)</f>
        <v>0.25</v>
      </c>
    </row>
    <row r="75" customFormat="false" ht="14.25" hidden="false" customHeight="false" outlineLevel="0" collapsed="false">
      <c r="A75" s="17" t="s">
        <v>25</v>
      </c>
      <c r="B75" s="13" t="n">
        <f aca="false">(IF($C$27/$C$26&gt;=1,MIN(ROUND($C$27/$C$26,0),9),1/MIN(ROUND($C$26/$C$27,0),9))*IF($D$27/$D$26&gt;=1,MIN(ROUND($D$27/$D$26,0),9),1/MIN(ROUND($D$26/$D$27,0),9))*IF($E$27/$E$26&gt;=1,MIN(ROUND($E$27/$E$26,0),9),1/MIN(ROUND($E$26/$E$27,0),9)))^(1/3)</f>
        <v>1</v>
      </c>
      <c r="C75" s="13" t="n">
        <v>1</v>
      </c>
      <c r="D75" s="13" t="n">
        <f aca="false">(IF($C$27/$C$28&gt;=1,MIN(ROUND($C$27/$C$28,0),9),1/MIN(ROUND($C$28/$C$27,0),9))*IF($D$27/$D$28&gt;=1,MIN(ROUND($D$27/$D$28,0),9),1/MIN(ROUND($D$28/$D$27,0),9))*IF($E$27/$E$28&gt;=1,MIN(ROUND($E$27/$E$28,0),9),1/MIN(ROUND($E$28/$E$27,0),9)))^(1/3)</f>
        <v>1</v>
      </c>
      <c r="E75" s="13" t="n">
        <f aca="false">(IF($C$27/$C$29&gt;=1,MIN(ROUND($C$27/$C$29,0),9),1/MIN(ROUND($C$29/$C$27,0),9))*IF($D$27/$D$29&gt;=1,MIN(ROUND($D$27/$D$29,0),9),1/MIN(ROUND($D$29/$D$27,0),9))*IF($E$27/$E$29&gt;=1,MIN(ROUND($E$27/$E$29,0),9),1/MIN(ROUND($E$29/$E$27,0),9)))^(1/3)</f>
        <v>1</v>
      </c>
      <c r="F75" s="13" t="n">
        <f aca="false">GEOMEAN(B75:E75)</f>
        <v>1</v>
      </c>
      <c r="G75" s="15" t="n">
        <f aca="false">F75/SUM($F$74:$F$77)</f>
        <v>0.25</v>
      </c>
    </row>
    <row r="76" customFormat="false" ht="14.25" hidden="false" customHeight="false" outlineLevel="0" collapsed="false">
      <c r="A76" s="17" t="s">
        <v>27</v>
      </c>
      <c r="B76" s="13" t="n">
        <f aca="false">(IF($C$28/$C$26&gt;=1,MIN(ROUND($C$28/$C$26,0),9),1/MIN(ROUND($C$26/$C$28,0),9))*IF($D$28/$D$26&gt;=1,MIN(ROUND($D$28/$D$26,0),9),1/MIN(ROUND($D$26/$D$28,0),9))*IF($E$28/$E$26&gt;=1,MIN(ROUND($E$28/$E$26,0),9),1/MIN(ROUND($E$26/$E$28,0),9)))^(1/3)</f>
        <v>1</v>
      </c>
      <c r="C76" s="13" t="n">
        <f aca="false">(IF($C$28/$C$27&gt;=1,MIN(ROUND($C$28/$C$27,0),9),1/MIN(ROUND($C$27/$C$28,0),9))*IF($D$28/$D$27&gt;=1,MIN(ROUND($D$28/$D$27,0),9),1/MIN(ROUND($D$27/$D$28,0),9))*IF($E$28/$E$27&gt;=1,MIN(ROUND($E$28/$E$27,0),9),1/MIN(ROUND($E$27/$E$28,0),9)))^(1/3)</f>
        <v>1</v>
      </c>
      <c r="D76" s="13" t="n">
        <v>1</v>
      </c>
      <c r="E76" s="13" t="n">
        <f aca="false">(IF($C$28/$C$29&gt;=1,MIN(ROUND($C$28/$C$29,0),9),1/MIN(ROUND($C$29/$C$28,0),9))*IF($D$28/$D$29&gt;=1,MIN(ROUND($D$28/$D$29,0),9),1/MIN(ROUND($D$29/$D$28,0),9))*IF($E$28/$E$29&gt;=1,MIN(ROUND($E$28/$E$29,0),9),1/MIN(ROUND($E$29/$E$28,0),9)))^(1/3)</f>
        <v>1</v>
      </c>
      <c r="F76" s="13" t="n">
        <f aca="false">GEOMEAN(B76:E76)</f>
        <v>1</v>
      </c>
      <c r="G76" s="15" t="n">
        <f aca="false">F76/SUM($F$74:$F$77)</f>
        <v>0.25</v>
      </c>
    </row>
    <row r="77" customFormat="false" ht="14.25" hidden="false" customHeight="false" outlineLevel="0" collapsed="false">
      <c r="A77" s="17" t="s">
        <v>29</v>
      </c>
      <c r="B77" s="13" t="n">
        <f aca="false">(IF($C$29/$C$26&gt;=1,MIN(ROUND($C$29/$C$26,0),9),1/MIN(ROUND($C$26/$C$29,0),9))*IF($D$29/$D$26&gt;=1,MIN(ROUND($D$29/$D$26,0),9),1/MIN(ROUND($D$26/$D$29,0),9))*IF($E$29/$E$26&gt;=1,MIN(ROUND($E$29/$E$26,0),9),1/MIN(ROUND($E$26/$E$29,0),9)))^(1/3)</f>
        <v>1</v>
      </c>
      <c r="C77" s="13" t="n">
        <f aca="false">(IF($C$29/$C$27&gt;=1,MIN(ROUND($C$29/$C$27,0),9),1/MIN(ROUND($C$27/$C$29,0),9))*IF($D$29/$D$27&gt;=1,MIN(ROUND($D$29/$D$27,0),9),1/MIN(ROUND($D$27/$D$29,0),9))*IF($E$29/$E$27&gt;=1,MIN(ROUND($E$29/$E$27,0),9),1/MIN(ROUND($E$27/$E$29,0),9)))^(1/3)</f>
        <v>1</v>
      </c>
      <c r="D77" s="13" t="n">
        <f aca="false">(IF($C$29/$C$28&gt;=1,MIN(ROUND($C$29/$C$28,0),9),1/MIN(ROUND($C$28/$C$29,0),9))*IF($D$29/$D$28&gt;=1,MIN(ROUND($D$29/$D$28,0),9),1/MIN(ROUND($D$28/$D$29,0),9))*IF($E$29/$E$28&gt;=1,MIN(ROUND($E$29/$E$28,0),9),1/MIN(ROUND($E$28/$E$29,0),9)))^(1/3)</f>
        <v>1</v>
      </c>
      <c r="E77" s="13" t="n">
        <v>1</v>
      </c>
      <c r="F77" s="13" t="n">
        <f aca="false">GEOMEAN(B77:E77)</f>
        <v>1</v>
      </c>
      <c r="G77" s="15" t="n">
        <f aca="false">F77/SUM($F$74:$F$77)</f>
        <v>0.25</v>
      </c>
    </row>
    <row r="78" customFormat="false" ht="14.25" hidden="false" customHeight="false" outlineLevel="0" collapsed="false">
      <c r="A78" s="9" t="s">
        <v>61</v>
      </c>
      <c r="B78" s="13" t="n">
        <f aca="false">SUM(B74:B77)</f>
        <v>4</v>
      </c>
      <c r="C78" s="13" t="n">
        <f aca="false">SUM(C74:C77)</f>
        <v>4</v>
      </c>
      <c r="D78" s="13" t="n">
        <f aca="false">SUM(D74:D77)</f>
        <v>4</v>
      </c>
      <c r="E78" s="13" t="n">
        <f aca="false">SUM(E74:E77)</f>
        <v>4</v>
      </c>
    </row>
    <row r="79" customFormat="false" ht="14.25" hidden="false" customHeight="false" outlineLevel="0" collapsed="false">
      <c r="A79" s="9" t="s">
        <v>62</v>
      </c>
      <c r="B79" s="13" t="n">
        <f aca="false">G74</f>
        <v>0.25</v>
      </c>
      <c r="C79" s="13" t="n">
        <f aca="false">G75</f>
        <v>0.25</v>
      </c>
      <c r="D79" s="13" t="n">
        <f aca="false">G76</f>
        <v>0.25</v>
      </c>
      <c r="E79" s="13" t="n">
        <f aca="false">G77</f>
        <v>0.25</v>
      </c>
    </row>
    <row r="80" customFormat="false" ht="14.25" hidden="false" customHeight="false" outlineLevel="0" collapsed="false">
      <c r="A80" s="9" t="s">
        <v>63</v>
      </c>
      <c r="B80" s="18" t="n">
        <f aca="false">SUMPRODUCT(B78:E78,B79:E79)</f>
        <v>4</v>
      </c>
      <c r="C80" s="9" t="s">
        <v>64</v>
      </c>
      <c r="D80" s="18" t="n">
        <f aca="false">(B80-4)/3</f>
        <v>0</v>
      </c>
      <c r="E80" s="9" t="s">
        <v>65</v>
      </c>
      <c r="F80" s="18" t="n">
        <f aca="false">D80/0.9</f>
        <v>0</v>
      </c>
      <c r="G80" s="19" t="str">
        <f aca="false">IF(F80&lt;0.1,"согласована","требует пересмотра")</f>
        <v>согласована</v>
      </c>
    </row>
    <row r="84" customFormat="false" ht="15" hidden="false" customHeight="false" outlineLevel="0" collapsed="false">
      <c r="A84" s="1" t="s">
        <v>70</v>
      </c>
    </row>
    <row r="85" customFormat="false" ht="23.85" hidden="false" customHeight="false" outlineLevel="0" collapsed="false">
      <c r="A85" s="3" t="s">
        <v>46</v>
      </c>
      <c r="B85" s="3" t="s">
        <v>11</v>
      </c>
      <c r="C85" s="3" t="s">
        <v>14</v>
      </c>
      <c r="D85" s="3" t="s">
        <v>17</v>
      </c>
      <c r="E85" s="3" t="s">
        <v>19</v>
      </c>
      <c r="F85" s="3" t="s">
        <v>71</v>
      </c>
      <c r="G85" s="3" t="s">
        <v>53</v>
      </c>
    </row>
    <row r="86" customFormat="false" ht="14.25" hidden="false" customHeight="false" outlineLevel="0" collapsed="false">
      <c r="A86" s="9" t="s">
        <v>72</v>
      </c>
      <c r="B86" s="18" t="n">
        <f aca="false">G34</f>
        <v>0.263594870799823</v>
      </c>
      <c r="C86" s="18" t="n">
        <f aca="false">G35</f>
        <v>0.263594870799823</v>
      </c>
      <c r="D86" s="18" t="n">
        <f aca="false">G36</f>
        <v>0.209215387600531</v>
      </c>
      <c r="E86" s="18" t="n">
        <f aca="false">G37</f>
        <v>0.263594870799823</v>
      </c>
      <c r="F86" s="10"/>
      <c r="G86" s="10"/>
    </row>
    <row r="87" customFormat="false" ht="14.25" hidden="false" customHeight="false" outlineLevel="0" collapsed="false">
      <c r="A87" s="4" t="s">
        <v>23</v>
      </c>
      <c r="B87" s="18" t="n">
        <f aca="false">G44</f>
        <v>0.18209428520626</v>
      </c>
      <c r="C87" s="18" t="n">
        <f aca="false">G54</f>
        <v>0.345783378021236</v>
      </c>
      <c r="D87" s="18" t="n">
        <f aca="false">G64</f>
        <v>0.279681322868545</v>
      </c>
      <c r="E87" s="18" t="n">
        <f aca="false">G74</f>
        <v>0.25</v>
      </c>
      <c r="F87" s="15" t="n">
        <f aca="false">SUMPRODUCT(B87:E87,B$86:E$86)</f>
        <v>0.263558198505092</v>
      </c>
      <c r="G87" s="8" t="n">
        <f aca="false">RANK(F87,F$87:F$90,0)</f>
        <v>1</v>
      </c>
    </row>
    <row r="88" customFormat="false" ht="14.25" hidden="false" customHeight="false" outlineLevel="0" collapsed="false">
      <c r="A88" s="4" t="s">
        <v>25</v>
      </c>
      <c r="B88" s="18" t="n">
        <f aca="false">G45</f>
        <v>0.20439392435805</v>
      </c>
      <c r="C88" s="18" t="n">
        <f aca="false">G55</f>
        <v>0.217829878336356</v>
      </c>
      <c r="D88" s="18" t="n">
        <f aca="false">G65</f>
        <v>0.221983213068693</v>
      </c>
      <c r="E88" s="18" t="n">
        <f aca="false">G75</f>
        <v>0.25</v>
      </c>
      <c r="F88" s="15" t="n">
        <f aca="false">SUMPRODUCT(B88:E88,B$86:E$86)</f>
        <v>0.223637050382775</v>
      </c>
      <c r="G88" s="8" t="n">
        <f aca="false">RANK(F88,F$87:F$90,0)</f>
        <v>4</v>
      </c>
    </row>
    <row r="89" customFormat="false" ht="14.25" hidden="false" customHeight="false" outlineLevel="0" collapsed="false">
      <c r="A89" s="4" t="s">
        <v>27</v>
      </c>
      <c r="B89" s="18" t="n">
        <f aca="false">G46</f>
        <v>0.289056659893814</v>
      </c>
      <c r="C89" s="18" t="n">
        <f aca="false">G56</f>
        <v>0.230782716946144</v>
      </c>
      <c r="D89" s="18" t="n">
        <f aca="false">G66</f>
        <v>0.249167732031381</v>
      </c>
      <c r="E89" s="18" t="n">
        <f aca="false">G76</f>
        <v>0.25</v>
      </c>
      <c r="F89" s="15" t="n">
        <f aca="false">SUMPRODUCT(B89:E89,B$86:E$86)</f>
        <v>0.255055434709236</v>
      </c>
      <c r="G89" s="8" t="n">
        <f aca="false">RANK(F89,F$87:F$90,0)</f>
        <v>3</v>
      </c>
    </row>
    <row r="90" customFormat="false" ht="14.25" hidden="false" customHeight="false" outlineLevel="0" collapsed="false">
      <c r="A90" s="4" t="s">
        <v>29</v>
      </c>
      <c r="B90" s="18" t="n">
        <f aca="false">G47</f>
        <v>0.324455130541876</v>
      </c>
      <c r="C90" s="18" t="n">
        <f aca="false">G57</f>
        <v>0.205604026696265</v>
      </c>
      <c r="D90" s="18" t="n">
        <f aca="false">G67</f>
        <v>0.249167732031381</v>
      </c>
      <c r="E90" s="18" t="n">
        <f aca="false">G77</f>
        <v>0.25</v>
      </c>
      <c r="F90" s="15" t="n">
        <f aca="false">SUMPRODUCT(B90:E90,B$86:E$86)</f>
        <v>0.257749316402897</v>
      </c>
      <c r="G90" s="8" t="n">
        <f aca="false">RANK(F90,F$87:F$90,0)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E6" activeCellId="0" sqref="E6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6" min="3" style="0" width="16"/>
  </cols>
  <sheetData>
    <row r="1" customFormat="false" ht="15" hidden="false" customHeight="false" outlineLevel="0" collapsed="false">
      <c r="A1" s="1" t="s">
        <v>73</v>
      </c>
    </row>
    <row r="3" customFormat="false" ht="14.25" hidden="false" customHeight="false" outlineLevel="0" collapsed="false">
      <c r="A3" s="3" t="s">
        <v>46</v>
      </c>
      <c r="B3" s="3" t="s">
        <v>22</v>
      </c>
      <c r="C3" s="3" t="s">
        <v>74</v>
      </c>
      <c r="D3" s="3" t="s">
        <v>75</v>
      </c>
      <c r="E3" s="3" t="s">
        <v>76</v>
      </c>
      <c r="F3" s="3" t="s">
        <v>77</v>
      </c>
    </row>
    <row r="4" customFormat="false" ht="14.25" hidden="false" customHeight="false" outlineLevel="0" collapsed="false">
      <c r="A4" s="4" t="s">
        <v>23</v>
      </c>
      <c r="B4" s="7" t="s">
        <v>24</v>
      </c>
      <c r="C4" s="18" t="n">
        <f aca="false">TOPSIS!D44</f>
        <v>0.538232903297971</v>
      </c>
      <c r="D4" s="8" t="n">
        <f aca="false">TOPSIS!E44</f>
        <v>1</v>
      </c>
      <c r="E4" s="18" t="n">
        <f aca="false">МАИ!F87</f>
        <v>0.263558198505092</v>
      </c>
      <c r="F4" s="8" t="n">
        <f aca="false">МАИ!G87</f>
        <v>1</v>
      </c>
    </row>
    <row r="5" customFormat="false" ht="14.25" hidden="false" customHeight="false" outlineLevel="0" collapsed="false">
      <c r="A5" s="4" t="s">
        <v>25</v>
      </c>
      <c r="B5" s="7" t="s">
        <v>26</v>
      </c>
      <c r="C5" s="18" t="n">
        <f aca="false">TOPSIS!D45</f>
        <v>0.454231493606994</v>
      </c>
      <c r="D5" s="8" t="n">
        <f aca="false">TOPSIS!E45</f>
        <v>4</v>
      </c>
      <c r="E5" s="18" t="n">
        <f aca="false">МАИ!F88</f>
        <v>0.223637050382775</v>
      </c>
      <c r="F5" s="8" t="n">
        <f aca="false">МАИ!G88</f>
        <v>4</v>
      </c>
    </row>
    <row r="6" customFormat="false" ht="14.25" hidden="false" customHeight="false" outlineLevel="0" collapsed="false">
      <c r="A6" s="4" t="s">
        <v>27</v>
      </c>
      <c r="B6" s="7" t="s">
        <v>28</v>
      </c>
      <c r="C6" s="18" t="n">
        <f aca="false">TOPSIS!D46</f>
        <v>0.466894359137953</v>
      </c>
      <c r="D6" s="8" t="n">
        <f aca="false">TOPSIS!E46</f>
        <v>3</v>
      </c>
      <c r="E6" s="18" t="n">
        <f aca="false">МАИ!F89</f>
        <v>0.255055434709236</v>
      </c>
      <c r="F6" s="8" t="n">
        <f aca="false">МАИ!G89</f>
        <v>3</v>
      </c>
    </row>
    <row r="7" customFormat="false" ht="14.25" hidden="false" customHeight="false" outlineLevel="0" collapsed="false">
      <c r="A7" s="4" t="s">
        <v>29</v>
      </c>
      <c r="B7" s="7" t="s">
        <v>30</v>
      </c>
      <c r="C7" s="18" t="n">
        <f aca="false">TOPSIS!D47</f>
        <v>0.509821582565091</v>
      </c>
      <c r="D7" s="8" t="n">
        <f aca="false">TOPSIS!E47</f>
        <v>2</v>
      </c>
      <c r="E7" s="18" t="n">
        <f aca="false">МАИ!F90</f>
        <v>0.257749316402897</v>
      </c>
      <c r="F7" s="8" t="n">
        <f aca="false">МАИ!G90</f>
        <v>2</v>
      </c>
    </row>
    <row r="9" customFormat="false" ht="14.25" hidden="false" customHeight="false" outlineLevel="0" collapsed="false">
      <c r="A9" s="20" t="s">
        <v>78</v>
      </c>
      <c r="C9" s="4" t="str">
        <f aca="false">INDEX($A$4:$A$7,MATCH(1,$D$4:$D$7,0))</f>
        <v>A1</v>
      </c>
    </row>
    <row r="10" customFormat="false" ht="14.25" hidden="false" customHeight="false" outlineLevel="0" collapsed="false">
      <c r="A10" s="20" t="s">
        <v>79</v>
      </c>
      <c r="C10" s="4" t="str">
        <f aca="false">INDEX($A$4:$A$7,MATCH(1,$F$4:$F$7,0))</f>
        <v>A1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LibreOffice/24.8.3.2$Windows_X86_64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2026-09-29T14:55:48Z</dcterms:created>
  <dc:creator>openpyxl</dc:creator>
  <dc:description/>
  <dc:language>ru-RU</dc:language>
  <cp:lastModifiedBy/>
  <dcterms:modified xsi:type="dcterms:W3CDTF">2026-10-06T20:56:41Z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